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f6f7967d25244ec" /></Relationships>
</file>

<file path=xl/workbook.xml><?xml version="1.0" encoding="utf-8"?>
<x:workbook xmlns:x="http://schemas.openxmlformats.org/spreadsheetml/2006/main">
  <x:sheets>
    <x:sheet xmlns:r="http://schemas.openxmlformats.org/officeDocument/2006/relationships" name="Cover" sheetId="1" r:id="R5bd057429578452b"/>
    <x:sheet xmlns:r="http://schemas.openxmlformats.org/officeDocument/2006/relationships" name="Legend_Key" sheetId="2" r:id="Rc38062329ccc4c0e"/>
    <x:sheet xmlns:r="http://schemas.openxmlformats.org/officeDocument/2006/relationships" name="Inputs" sheetId="3" r:id="Ra2bbf1e35c484c6e"/>
    <x:sheet xmlns:r="http://schemas.openxmlformats.org/officeDocument/2006/relationships" name="Forward_Hedge" sheetId="4" r:id="R79d66d4d2e9c4a9a"/>
    <x:sheet xmlns:r="http://schemas.openxmlformats.org/officeDocument/2006/relationships" name="Money_Market_Hedge" sheetId="5" r:id="Rc10f2f98448643da"/>
    <x:sheet xmlns:r="http://schemas.openxmlformats.org/officeDocument/2006/relationships" name="Option_Hedge" sheetId="6" r:id="Rd46a4c497cdc4ace"/>
    <x:sheet xmlns:r="http://schemas.openxmlformats.org/officeDocument/2006/relationships" name="Sensitivity" sheetId="7" r:id="R78570096d32c44dc"/>
    <x:sheet xmlns:r="http://schemas.openxmlformats.org/officeDocument/2006/relationships" name="Validation" sheetId="8" r:id="R35ccadc1466d4445"/>
    <x:sheet xmlns:r="http://schemas.openxmlformats.org/officeDocument/2006/relationships" name="Notes_Assumptions" sheetId="9" r:id="Rc4f67485ffda41c2"/>
    <x:sheet xmlns:r="http://schemas.openxmlformats.org/officeDocument/2006/relationships" name="Verification_Sources" sheetId="10" r:id="Rb5c4e77b9bd74564"/>
  </x:sheets>
  <x:definedNames>
    <x:definedName name="FC_AMT">Inputs!$C$6</x:definedName>
    <x:definedName name="S0_in">Inputs!$C$7</x:definedName>
    <x:definedName name="F0_in">Inputs!$C$8</x:definedName>
    <x:definedName name="R_USD">Inputs!$C$9</x:definedName>
    <x:definedName name="R_FC">Inputs!$C$10</x:definedName>
    <x:definedName name="K_PUT">Inputs!$C$11</x:definedName>
    <x:definedName name="K_CALL">Inputs!$C$12</x:definedName>
    <x:definedName name="PREM_PUT">Inputs!$C$13</x:definedName>
    <x:definedName name="PREM_CALL">Inputs!$C$14</x:definedName>
    <x:definedName name="T_DAYS">Inputs!$C$15</x:definedName>
    <x:definedName name="BASIS">Inputs!$C$16</x:definedName>
    <x:definedName name="SENS_LOW">Inputs!$C$17</x:definedName>
    <x:definedName name="SENS_STEP">Inputs!$C$18</x:definedName>
  </x:definedNames>
</x:workbook>
</file>

<file path=xl/sharedStrings.xml><?xml version="1.0" encoding="utf-8"?>
<x:sst xmlns:x="http://schemas.openxmlformats.org/spreadsheetml/2006/main"/>
</file>

<file path=xl/styles.xml><?xml version="1.0" encoding="utf-8"?>
<x:styleSheet xmlns:x="http://schemas.openxmlformats.org/spreadsheetml/2006/main">
  <x:numFmts count="7">
    <x:numFmt numFmtId="200" formatCode="€#,##0.00;[Red](€#,##0.00);-"/>
    <x:numFmt numFmtId="201" formatCode="0.0000"/>
    <x:numFmt numFmtId="202" formatCode="0.00%"/>
    <x:numFmt numFmtId="203" formatCode="#,##0"/>
    <x:numFmt numFmtId="204" formatCode="$#,##0.00;[Red]($#,##0.00);-"/>
    <x:numFmt numFmtId="205" formatCode="0.000000"/>
    <x:numFmt numFmtId="206" formatCode="0.000%"/>
  </x:numFmts>
  <x:fonts count="14">
    <x:font>
      <x:sz val="11"/>
      <x:name val="Carlito"/>
    </x:font>
    <x:font>
      <x:b/>
      <x:sz val="16"/>
      <x:color rgb="FFFFFFFF"/>
      <x:name val="Carlito"/>
    </x:font>
    <x:font>
      <x:b/>
      <x:sz val="11"/>
      <x:color rgb="FFFFFFFF"/>
      <x:name val="Carlito"/>
    </x:font>
    <x:font>
      <x:b/>
      <x:sz val="11"/>
      <x:color rgb="FF000000"/>
      <x:name val="Carlito"/>
    </x:font>
    <x:font>
      <x:sz val="11"/>
      <x:color rgb="FF525252"/>
      <x:name val="Carlito"/>
    </x:font>
    <x:font>
      <x:sz val="11"/>
      <x:color rgb="FF0000FF"/>
      <x:name val="Carlito"/>
    </x:font>
    <x:font>
      <x:b/>
      <x:sz val="16"/>
      <x:color rgb="FFFFFFFF"/>
      <x:name val="Open Sans"/>
    </x:font>
    <x:font>
      <x:sz val="11"/>
      <x:name val="Open Sans"/>
    </x:font>
    <x:font>
      <x:b/>
      <x:sz val="11"/>
      <x:color rgb="FFFFFFFF"/>
      <x:name val="Open Sans"/>
    </x:font>
    <x:font>
      <x:b/>
      <x:sz val="11"/>
      <x:color rgb="FF000000"/>
      <x:name val="Open Sans"/>
    </x:font>
    <x:font>
      <x:sz val="11"/>
      <x:color rgb="FF525252"/>
      <x:name val="Open Sans"/>
    </x:font>
    <x:font>
      <x:sz val="11"/>
      <x:color rgb="FF0000FF"/>
      <x:name val="Open Sans"/>
    </x:font>
    <x:font>
      <x:sz val="11"/>
      <x:color rgb="FF000000"/>
      <x:name val="Carlito"/>
    </x:font>
    <x:font>
      <x:sz val="11"/>
      <x:color rgb="FF000000"/>
      <x:name val="Open Sans"/>
    </x:font>
  </x:fonts>
  <x:fills count="9">
    <x:fill>
      <x:patternFill patternType="none"/>
    </x:fill>
    <x:fill>
      <x:patternFill patternType="gray125"/>
    </x:fill>
    <x:fill>
      <x:patternFill patternType="solid">
        <x:fgColor rgb="FF024731"/>
      </x:patternFill>
    </x:fill>
    <x:fill>
      <x:patternFill patternType="solid">
        <x:fgColor rgb="FFE6F2EF"/>
      </x:patternFill>
    </x:fill>
    <x:fill>
      <x:patternFill patternType="solid">
        <x:fgColor rgb="FFD9EAF7"/>
      </x:patternFill>
    </x:fill>
    <x:fill>
      <x:patternFill patternType="solid">
        <x:fgColor rgb="FFFFFF00"/>
      </x:patternFill>
    </x:fill>
    <x:fill>
      <x:patternFill patternType="solid">
        <x:fgColor rgb="FFE2F0D9"/>
      </x:patternFill>
    </x:fill>
    <x:fill>
      <x:patternFill patternType="solid">
        <x:fgColor rgb="FFD9D9D9"/>
      </x:patternFill>
    </x:fill>
    <x:fill>
      <x:patternFill patternType="solid">
        <x:fgColor rgb="FF024731"/>
      </x:patternFill>
    </x:fill>
  </x:fills>
  <x:borders count="2">
    <x:border/>
    <x:border/>
  </x:borders>
  <x:cellStyleXfs count="1">
    <x:xf numFmtId="0" fontId="0" fillId="0" borderId="0"/>
  </x:cellStyleXfs>
  <x:cellXfs count="13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2" fillId="2" borderId="0" xfId="0" applyNumberFormat="1" applyFont="1" applyFill="1" applyBorder="1"/>
    <x:xf numFmtId="0" fontId="2" fillId="2" borderId="0" xfId="0" applyNumberFormat="1" applyFont="1" applyFill="1" applyBorder="1" applyAlignment="1">
      <x:alignment wrapText="1"/>
    </x:xf>
    <x:xf numFmtId="0" fontId="2" fillId="2" borderId="0" xfId="0" applyNumberFormat="1" applyFont="1" applyFill="1" applyBorder="1" applyAlignment="1">
      <x:alignment horizontal="center" wrapText="1"/>
    </x:xf>
    <x:xf numFmtId="0" fontId="2" fillId="2" borderId="0" xfId="0" applyNumberFormat="1" applyFont="1" applyFill="1" applyBorder="1" applyAlignment="1">
      <x:alignment horizontal="center" vertical="center" wrapText="1"/>
    </x:xf>
    <x:xf numFmtId="0" fontId="2" fillId="2" borderId="1" xfId="0" applyNumberFormat="1" applyFont="1" applyFill="1" applyBorder="1"/>
    <x:xf numFmtId="0" fontId="2" fillId="2" borderId="1" xfId="0" applyNumberFormat="1" applyFont="1" applyFill="1" applyBorder="1" applyAlignment="1">
      <x:alignment wrapText="1"/>
    </x:xf>
    <x:xf numFmtId="0" fontId="2" fillId="2" borderId="1" xfId="0" applyNumberFormat="1" applyFont="1" applyFill="1" applyBorder="1" applyAlignment="1">
      <x:alignment horizontal="center" wrapText="1"/>
    </x:xf>
    <x:xf numFmtId="0" fontId="2" fillId="2" borderId="1" xfId="0" applyNumberFormat="1" applyFont="1" applyFill="1" applyBorder="1" applyAlignment="1">
      <x:alignment horizontal="center" vertical="center" wrapText="1"/>
    </x:xf>
    <x:xf numFmtId="0" fontId="3" fillId="0" borderId="0" xfId="0" applyNumberFormat="1" applyFont="1" applyFill="1" applyBorder="1"/>
    <x:xf numFmtId="0" fontId="3" fillId="0" borderId="1" xfId="0" applyNumberFormat="1" applyFont="1" applyFill="1" applyBorder="1"/>
    <x:xf numFmtId="0" fontId="2" fillId="2" borderId="0" xfId="0" applyNumberFormat="1" applyFont="1" applyFill="1" applyBorder="1" applyAlignment="1">
      <x:alignment horizontal="left"/>
    </x:xf>
    <x:xf numFmtId="0" fontId="2" fillId="2" borderId="0" xfId="0" applyNumberFormat="1" applyFont="1" applyFill="1" applyBorder="1" applyAlignment="1">
      <x:alignment horizontal="left" vertical="center"/>
    </x:xf>
    <x:xf numFmtId="0" fontId="2" fillId="2" borderId="1" xfId="0" applyNumberFormat="1" applyFont="1" applyFill="1" applyBorder="1" applyAlignment="1">
      <x:alignment horizontal="left"/>
    </x:xf>
    <x:xf numFmtId="0" fontId="2" fillId="2" borderId="1" xfId="0" applyNumberFormat="1" applyFont="1" applyFill="1" applyBorder="1" applyAlignment="1">
      <x:alignment horizontal="left" vertical="center"/>
    </x:xf>
    <x:xf numFmtId="0" fontId="0" fillId="3" borderId="0" xfId="0" applyNumberFormat="1" applyFont="1" applyFill="1" applyBorder="1"/>
    <x:xf numFmtId="0" fontId="4" fillId="3" borderId="0" xfId="0" applyNumberFormat="1" applyFont="1" applyFill="1" applyBorder="1"/>
    <x:xf numFmtId="0" fontId="4" fillId="3" borderId="0" xfId="0" applyNumberFormat="1" applyFont="1" applyFill="1" applyBorder="1" applyAlignment="1">
      <x:alignment wrapText="1"/>
    </x:xf>
    <x:xf numFmtId="0" fontId="0" fillId="3" borderId="1" xfId="0" applyNumberFormat="1" applyFont="1" applyFill="1" applyBorder="1"/>
    <x:xf numFmtId="0" fontId="4" fillId="3" borderId="1" xfId="0" applyNumberFormat="1" applyFont="1" applyFill="1" applyBorder="1"/>
    <x:xf numFmtId="0" fontId="4" fillId="3" borderId="1" xfId="0" applyNumberFormat="1" applyFont="1" applyFill="1" applyBorder="1" applyAlignment="1">
      <x:alignment wrapText="1"/>
    </x:xf>
    <x:xf numFmtId="0" fontId="0" fillId="4" borderId="0" xfId="0" applyNumberFormat="1" applyFont="1" applyFill="1" applyBorder="1"/>
    <x:xf numFmtId="0" fontId="5" fillId="4" borderId="0" xfId="0" applyNumberFormat="1" applyFont="1" applyFill="1" applyBorder="1"/>
    <x:xf numFmtId="0" fontId="0" fillId="4" borderId="1" xfId="0" applyNumberFormat="1" applyFont="1" applyFill="1" applyBorder="1"/>
    <x:xf numFmtId="0" fontId="5" fillId="4" borderId="1" xfId="0" applyNumberFormat="1" applyFont="1" applyFill="1" applyBorder="1"/>
    <x:xf numFmtId="0" fontId="6" fillId="2" borderId="0" xfId="0" applyNumberFormat="1" applyFont="1" applyFill="1" applyBorder="1" applyAlignment="1">
      <x:alignment horizontal="left" vertical="center"/>
    </x:xf>
    <x:xf numFmtId="0" fontId="7" fillId="0" borderId="0" xfId="0" applyNumberFormat="1" applyFont="1" applyFill="1" applyBorder="1"/>
    <x:xf numFmtId="0" fontId="8" fillId="2" borderId="0" xfId="0" applyNumberFormat="1" applyFont="1" applyFill="1" applyBorder="1" applyAlignment="1">
      <x:alignment horizontal="center" vertical="center" wrapText="1"/>
    </x:xf>
    <x:xf numFmtId="0" fontId="9" fillId="0" borderId="0" xfId="0" applyNumberFormat="1" applyFont="1" applyFill="1" applyBorder="1"/>
    <x:xf numFmtId="0" fontId="8" fillId="2" borderId="0" xfId="0" applyNumberFormat="1" applyFont="1" applyFill="1" applyBorder="1" applyAlignment="1">
      <x:alignment horizontal="left" vertical="center"/>
    </x:xf>
    <x:xf numFmtId="0" fontId="10" fillId="3" borderId="0" xfId="0" applyNumberFormat="1" applyFont="1" applyFill="1" applyBorder="1" applyAlignment="1">
      <x:alignment wrapText="1"/>
    </x:xf>
    <x:xf numFmtId="0" fontId="11" fillId="4" borderId="0" xfId="0" applyNumberFormat="1" applyFont="1" applyFill="1" applyBorder="1"/>
    <x:xf numFmtId="0" fontId="6" fillId="2" borderId="1" xfId="0" applyNumberFormat="1" applyFont="1" applyFill="1" applyBorder="1" applyAlignment="1">
      <x:alignment horizontal="left" vertical="center"/>
    </x:xf>
    <x:xf numFmtId="0" fontId="7" fillId="0" borderId="1" xfId="0" applyNumberFormat="1" applyFont="1" applyFill="1" applyBorder="1"/>
    <x:xf numFmtId="0" fontId="8" fillId="2" borderId="1" xfId="0" applyNumberFormat="1" applyFont="1" applyFill="1" applyBorder="1" applyAlignment="1">
      <x:alignment horizontal="center" vertical="center" wrapText="1"/>
    </x:xf>
    <x:xf numFmtId="0" fontId="9" fillId="0" borderId="1" xfId="0" applyNumberFormat="1" applyFont="1" applyFill="1" applyBorder="1"/>
    <x:xf numFmtId="0" fontId="8" fillId="2" borderId="1" xfId="0" applyNumberFormat="1" applyFont="1" applyFill="1" applyBorder="1" applyAlignment="1">
      <x:alignment horizontal="left" vertical="center"/>
    </x:xf>
    <x:xf numFmtId="0" fontId="10" fillId="3" borderId="1" xfId="0" applyNumberFormat="1" applyFont="1" applyFill="1" applyBorder="1" applyAlignment="1">
      <x:alignment wrapText="1"/>
    </x:xf>
    <x:xf numFmtId="0" fontId="11" fillId="4" borderId="1" xfId="0" applyNumberFormat="1" applyFont="1" applyFill="1" applyBorder="1"/>
    <x:xf numFmtId="0" fontId="0" fillId="5" borderId="0" xfId="0" applyNumberFormat="1" applyFont="1" applyFill="1" applyBorder="1"/>
    <x:xf numFmtId="0" fontId="12" fillId="5" borderId="0" xfId="0" applyNumberFormat="1" applyFont="1" applyFill="1" applyBorder="1"/>
    <x:xf numFmtId="0" fontId="0" fillId="5" borderId="1" xfId="0" applyNumberFormat="1" applyFont="1" applyFill="1" applyBorder="1"/>
    <x:xf numFmtId="0" fontId="12" fillId="5" borderId="1" xfId="0" applyNumberFormat="1" applyFont="1" applyFill="1" applyBorder="1"/>
    <x:xf numFmtId="0" fontId="0" fillId="6" borderId="0" xfId="0" applyNumberFormat="1" applyFont="1" applyFill="1" applyBorder="1"/>
    <x:xf numFmtId="0" fontId="12" fillId="6" borderId="0" xfId="0" applyNumberFormat="1" applyFont="1" applyFill="1" applyBorder="1"/>
    <x:xf numFmtId="0" fontId="0" fillId="6" borderId="1" xfId="0" applyNumberFormat="1" applyFont="1" applyFill="1" applyBorder="1"/>
    <x:xf numFmtId="0" fontId="12" fillId="6" borderId="1" xfId="0" applyNumberFormat="1" applyFont="1" applyFill="1" applyBorder="1"/>
    <x:xf numFmtId="0" fontId="0" fillId="7" borderId="0" xfId="0" applyNumberFormat="1" applyFont="1" applyFill="1" applyBorder="1"/>
    <x:xf numFmtId="0" fontId="3" fillId="7" borderId="0" xfId="0" applyNumberFormat="1" applyFont="1" applyFill="1" applyBorder="1"/>
    <x:xf numFmtId="0" fontId="0" fillId="7" borderId="1" xfId="0" applyNumberFormat="1" applyFont="1" applyFill="1" applyBorder="1"/>
    <x:xf numFmtId="0" fontId="3" fillId="7" borderId="1" xfId="0" applyNumberFormat="1" applyFont="1" applyFill="1" applyBorder="1"/>
    <x:xf numFmtId="0" fontId="13" fillId="5" borderId="0" xfId="0" applyNumberFormat="1" applyFont="1" applyFill="1" applyBorder="1"/>
    <x:xf numFmtId="0" fontId="13" fillId="6" borderId="0" xfId="0" applyNumberFormat="1" applyFont="1" applyFill="1" applyBorder="1"/>
    <x:xf numFmtId="0" fontId="9" fillId="7" borderId="0" xfId="0" applyNumberFormat="1" applyFont="1" applyFill="1" applyBorder="1"/>
    <x:xf numFmtId="0" fontId="13" fillId="5" borderId="1" xfId="0" applyNumberFormat="1" applyFont="1" applyFill="1" applyBorder="1"/>
    <x:xf numFmtId="0" fontId="13" fillId="6" borderId="1" xfId="0" applyNumberFormat="1" applyFont="1" applyFill="1" applyBorder="1"/>
    <x:xf numFmtId="0" fontId="9" fillId="7" borderId="1" xfId="0" applyNumberFormat="1" applyFont="1" applyFill="1" applyBorder="1"/>
    <x:xf numFmtId="200" fontId="12" fillId="5" borderId="0" xfId="0" applyNumberFormat="1" applyFont="1" applyFill="1" applyBorder="1"/>
    <x:xf numFmtId="200" fontId="12" fillId="5" borderId="1" xfId="0" applyNumberFormat="1" applyFont="1" applyFill="1" applyBorder="1"/>
    <x:xf numFmtId="201" fontId="12" fillId="5" borderId="0" xfId="0" applyNumberFormat="1" applyFont="1" applyFill="1" applyBorder="1"/>
    <x:xf numFmtId="201" fontId="12" fillId="5" borderId="1" xfId="0" applyNumberFormat="1" applyFont="1" applyFill="1" applyBorder="1"/>
    <x:xf numFmtId="202" fontId="12" fillId="5" borderId="0" xfId="0" applyNumberFormat="1" applyFont="1" applyFill="1" applyBorder="1"/>
    <x:xf numFmtId="202" fontId="12" fillId="5" borderId="1" xfId="0" applyNumberFormat="1" applyFont="1" applyFill="1" applyBorder="1"/>
    <x:xf numFmtId="203" fontId="12" fillId="5" borderId="0" xfId="0" applyNumberFormat="1" applyFont="1" applyFill="1" applyBorder="1"/>
    <x:xf numFmtId="203" fontId="5" fillId="4" borderId="0" xfId="0" applyNumberFormat="1" applyFont="1" applyFill="1" applyBorder="1"/>
    <x:xf numFmtId="203" fontId="12" fillId="5" borderId="1" xfId="0" applyNumberFormat="1" applyFont="1" applyFill="1" applyBorder="1"/>
    <x:xf numFmtId="203" fontId="5" fillId="4" borderId="1" xfId="0" applyNumberFormat="1" applyFont="1" applyFill="1" applyBorder="1"/>
    <x:xf numFmtId="202" fontId="5" fillId="4" borderId="0" xfId="0" applyNumberFormat="1" applyFont="1" applyFill="1" applyBorder="1"/>
    <x:xf numFmtId="202" fontId="5" fillId="4" borderId="1" xfId="0" applyNumberFormat="1" applyFont="1" applyFill="1" applyBorder="1"/>
    <x:xf numFmtId="200" fontId="13" fillId="5" borderId="0" xfId="0" applyNumberFormat="1" applyFont="1" applyFill="1" applyBorder="1"/>
    <x:xf numFmtId="201" fontId="13" fillId="5" borderId="0" xfId="0" applyNumberFormat="1" applyFont="1" applyFill="1" applyBorder="1"/>
    <x:xf numFmtId="202" fontId="13" fillId="5" borderId="0" xfId="0" applyNumberFormat="1" applyFont="1" applyFill="1" applyBorder="1"/>
    <x:xf numFmtId="203" fontId="13" fillId="5" borderId="0" xfId="0" applyNumberFormat="1" applyFont="1" applyFill="1" applyBorder="1"/>
    <x:xf numFmtId="203" fontId="11" fillId="4" borderId="0" xfId="0" applyNumberFormat="1" applyFont="1" applyFill="1" applyBorder="1"/>
    <x:xf numFmtId="202" fontId="11" fillId="4" borderId="0" xfId="0" applyNumberFormat="1" applyFont="1" applyFill="1" applyBorder="1"/>
    <x:xf numFmtId="200" fontId="13" fillId="5" borderId="1" xfId="0" applyNumberFormat="1" applyFont="1" applyFill="1" applyBorder="1"/>
    <x:xf numFmtId="201" fontId="13" fillId="5" borderId="1" xfId="0" applyNumberFormat="1" applyFont="1" applyFill="1" applyBorder="1"/>
    <x:xf numFmtId="202" fontId="13" fillId="5" borderId="1" xfId="0" applyNumberFormat="1" applyFont="1" applyFill="1" applyBorder="1"/>
    <x:xf numFmtId="203" fontId="13" fillId="5" borderId="1" xfId="0" applyNumberFormat="1" applyFont="1" applyFill="1" applyBorder="1"/>
    <x:xf numFmtId="203" fontId="11" fillId="4" borderId="1" xfId="0" applyNumberFormat="1" applyFont="1" applyFill="1" applyBorder="1"/>
    <x:xf numFmtId="202" fontId="11" fillId="4" borderId="1" xfId="0" applyNumberFormat="1" applyFont="1" applyFill="1" applyBorder="1"/>
    <x:xf numFmtId="200" fontId="12" fillId="6" borderId="0" xfId="0" applyNumberFormat="1" applyFont="1" applyFill="1" applyBorder="1"/>
    <x:xf numFmtId="200" fontId="12" fillId="6" borderId="1" xfId="0" applyNumberFormat="1" applyFont="1" applyFill="1" applyBorder="1"/>
    <x:xf numFmtId="201" fontId="12" fillId="6" borderId="0" xfId="0" applyNumberFormat="1" applyFont="1" applyFill="1" applyBorder="1"/>
    <x:xf numFmtId="201" fontId="12" fillId="6" borderId="1" xfId="0" applyNumberFormat="1" applyFont="1" applyFill="1" applyBorder="1"/>
    <x:xf numFmtId="204" fontId="3" fillId="7" borderId="0" xfId="0" applyNumberFormat="1" applyFont="1" applyFill="1" applyBorder="1"/>
    <x:xf numFmtId="204" fontId="3" fillId="7" borderId="1" xfId="0" applyNumberFormat="1" applyFont="1" applyFill="1" applyBorder="1"/>
    <x:xf numFmtId="200" fontId="13" fillId="6" borderId="0" xfId="0" applyNumberFormat="1" applyFont="1" applyFill="1" applyBorder="1"/>
    <x:xf numFmtId="201" fontId="13" fillId="6" borderId="0" xfId="0" applyNumberFormat="1" applyFont="1" applyFill="1" applyBorder="1"/>
    <x:xf numFmtId="204" fontId="9" fillId="7" borderId="0" xfId="0" applyNumberFormat="1" applyFont="1" applyFill="1" applyBorder="1"/>
    <x:xf numFmtId="200" fontId="13" fillId="6" borderId="1" xfId="0" applyNumberFormat="1" applyFont="1" applyFill="1" applyBorder="1"/>
    <x:xf numFmtId="201" fontId="13" fillId="6" borderId="1" xfId="0" applyNumberFormat="1" applyFont="1" applyFill="1" applyBorder="1"/>
    <x:xf numFmtId="204" fontId="9" fillId="7" borderId="1" xfId="0" applyNumberFormat="1" applyFont="1" applyFill="1" applyBorder="1"/>
    <x:xf numFmtId="0" fontId="12" fillId="7" borderId="0" xfId="0" applyNumberFormat="1" applyFont="1" applyFill="1" applyBorder="1"/>
    <x:xf numFmtId="0" fontId="12" fillId="7" borderId="1" xfId="0" applyNumberFormat="1" applyFont="1" applyFill="1" applyBorder="1"/>
    <x:xf numFmtId="205" fontId="12" fillId="6" borderId="0" xfId="0" applyNumberFormat="1" applyFont="1" applyFill="1" applyBorder="1"/>
    <x:xf numFmtId="205" fontId="12" fillId="6" borderId="1" xfId="0" applyNumberFormat="1" applyFont="1" applyFill="1" applyBorder="1"/>
    <x:xf numFmtId="204" fontId="12" fillId="6" borderId="0" xfId="0" applyNumberFormat="1" applyFont="1" applyFill="1" applyBorder="1"/>
    <x:xf numFmtId="204" fontId="12" fillId="6" borderId="1" xfId="0" applyNumberFormat="1" applyFont="1" applyFill="1" applyBorder="1"/>
    <x:xf numFmtId="205" fontId="13" fillId="6" borderId="0" xfId="0" applyNumberFormat="1" applyFont="1" applyFill="1" applyBorder="1"/>
    <x:xf numFmtId="204" fontId="13" fillId="6" borderId="0" xfId="0" applyNumberFormat="1" applyFont="1" applyFill="1" applyBorder="1"/>
    <x:xf numFmtId="205" fontId="13" fillId="6" borderId="1" xfId="0" applyNumberFormat="1" applyFont="1" applyFill="1" applyBorder="1"/>
    <x:xf numFmtId="204" fontId="13" fillId="6" borderId="1" xfId="0" applyNumberFormat="1" applyFont="1" applyFill="1" applyBorder="1"/>
    <x:xf numFmtId="202" fontId="12" fillId="6" borderId="0" xfId="0" applyNumberFormat="1" applyFont="1" applyFill="1" applyBorder="1"/>
    <x:xf numFmtId="202" fontId="12" fillId="6" borderId="1" xfId="0" applyNumberFormat="1" applyFont="1" applyFill="1" applyBorder="1"/>
    <x:xf numFmtId="202" fontId="13" fillId="6" borderId="0" xfId="0" applyNumberFormat="1" applyFont="1" applyFill="1" applyBorder="1"/>
    <x:xf numFmtId="202" fontId="13" fillId="6" borderId="1" xfId="0" applyNumberFormat="1" applyFont="1" applyFill="1" applyBorder="1"/>
    <x:xf numFmtId="203" fontId="12" fillId="6" borderId="0" xfId="0" applyNumberFormat="1" applyFont="1" applyFill="1" applyBorder="1"/>
    <x:xf numFmtId="203" fontId="12" fillId="6" borderId="1" xfId="0" applyNumberFormat="1" applyFont="1" applyFill="1" applyBorder="1"/>
    <x:xf numFmtId="203" fontId="13" fillId="6" borderId="0" xfId="0" applyNumberFormat="1" applyFont="1" applyFill="1" applyBorder="1"/>
    <x:xf numFmtId="203" fontId="13" fillId="6" borderId="1" xfId="0" applyNumberFormat="1" applyFont="1" applyFill="1" applyBorder="1"/>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7" fillId="0" borderId="0" xfId="0" applyNumberFormat="1" applyFont="1" applyFill="1" applyBorder="1" applyAlignment="1">
      <x:alignment wrapText="1"/>
    </x:xf>
    <x:xf numFmtId="0" fontId="0" fillId="0" borderId="0" xfId="0" applyNumberFormat="1" applyFont="1" applyFill="1" applyBorder="1"/>
    <x:xf numFmtId="0" fontId="0" fillId="8" borderId="0" xfId="0" applyNumberFormat="1" applyFont="1" applyFill="1" applyBorder="1"/>
    <x:xf numFmtId="0" fontId="2" fillId="8" borderId="0" xfId="0" applyNumberFormat="1" applyFont="1" applyFill="1" applyBorder="1"/>
    <x:xf numFmtId="0" fontId="2" fillId="8" borderId="0" xfId="0" applyNumberFormat="1" applyFont="1" applyFill="1" applyBorder="1" applyAlignment="1">
      <x:alignment wrapText="1"/>
    </x:xf>
    <x:xf numFmtId="200" fontId="13" fillId="5" borderId="0" xfId="0" applyNumberFormat="1" applyFont="1" applyFill="1" applyBorder="1" applyAlignment="1">
      <x:alignment wrapText="1"/>
    </x:xf>
    <x:xf numFmtId="201" fontId="13" fillId="5" borderId="0" xfId="0" applyNumberFormat="1" applyFont="1" applyFill="1" applyBorder="1" applyAlignment="1">
      <x:alignment wrapText="1"/>
    </x:xf>
    <x:xf numFmtId="202" fontId="13" fillId="5" borderId="0" xfId="0" applyNumberFormat="1" applyFont="1" applyFill="1" applyBorder="1" applyAlignment="1">
      <x:alignment wrapText="1"/>
    </x:xf>
    <x:xf numFmtId="203" fontId="13" fillId="5" borderId="0" xfId="0" applyNumberFormat="1" applyFont="1" applyFill="1" applyBorder="1" applyAlignment="1">
      <x:alignment wrapText="1"/>
    </x:xf>
    <x:xf numFmtId="203" fontId="11" fillId="4" borderId="0" xfId="0" applyNumberFormat="1" applyFont="1" applyFill="1" applyBorder="1" applyAlignment="1">
      <x:alignment wrapText="1"/>
    </x:xf>
    <x:xf numFmtId="202" fontId="11" fillId="4" borderId="0" xfId="0" applyNumberFormat="1" applyFont="1" applyFill="1" applyBorder="1" applyAlignment="1">
      <x:alignment wrapText="1"/>
    </x:xf>
    <x:xf numFmtId="0" fontId="1" fillId="8" borderId="0" xfId="0" applyNumberFormat="1" applyFont="1" applyFill="1" applyBorder="1"/>
    <x:xf numFmtId="201" fontId="0" fillId="0" borderId="0" xfId="0" applyNumberFormat="1" applyFont="1" applyFill="1" applyBorder="1"/>
    <x:xf numFmtId="206" fontId="0" fillId="0" borderId="0" xfId="0" applyNumberFormat="1" applyFont="1" applyFill="1" applyBorder="1"/>
    <x:xf numFmtId="201" fontId="0" fillId="0" borderId="0" xfId="0" applyNumberFormat="1" applyFont="1" applyFill="1" applyBorder="1" applyAlignment="1">
      <x:alignment wrapText="1"/>
    </x:xf>
    <x:xf numFmtId="206" fontId="0" fillId="0"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80f1a217fc24c49" /><Relationship Type="http://schemas.openxmlformats.org/officeDocument/2006/relationships/theme" Target="/xl/theme/theme1.xml" Id="Rbe94bc2533124732" /><Relationship Type="http://schemas.openxmlformats.org/officeDocument/2006/relationships/sharedStrings" Target="/xl/sharedStrings.xml" Id="R4cfc700a0e444015" /><Relationship Type="http://schemas.openxmlformats.org/officeDocument/2006/relationships/worksheet" Target="/xl/worksheets/sheet1.xml" Id="R5bd057429578452b" /><Relationship Type="http://schemas.openxmlformats.org/officeDocument/2006/relationships/worksheet" Target="/xl/worksheets/sheet2.xml" Id="Rc38062329ccc4c0e" /><Relationship Type="http://schemas.openxmlformats.org/officeDocument/2006/relationships/worksheet" Target="/xl/worksheets/sheet3.xml" Id="Ra2bbf1e35c484c6e" /><Relationship Type="http://schemas.openxmlformats.org/officeDocument/2006/relationships/worksheet" Target="/xl/worksheets/sheet4.xml" Id="R79d66d4d2e9c4a9a" /><Relationship Type="http://schemas.openxmlformats.org/officeDocument/2006/relationships/worksheet" Target="/xl/worksheets/sheet5.xml" Id="Rc10f2f98448643da" /><Relationship Type="http://schemas.openxmlformats.org/officeDocument/2006/relationships/worksheet" Target="/xl/worksheets/sheet6.xml" Id="Rd46a4c497cdc4ace" /><Relationship Type="http://schemas.openxmlformats.org/officeDocument/2006/relationships/worksheet" Target="/xl/worksheets/sheet7.xml" Id="R78570096d32c44dc" /><Relationship Type="http://schemas.openxmlformats.org/officeDocument/2006/relationships/worksheet" Target="/xl/worksheets/sheet8.xml" Id="R35ccadc1466d4445" /><Relationship Type="http://schemas.openxmlformats.org/officeDocument/2006/relationships/worksheet" Target="/xl/worksheets/sheet9.xml" Id="Rc4f67485ffda41c2" /><Relationship Type="http://schemas.openxmlformats.org/officeDocument/2006/relationships/worksheet" Target="/xl/worksheets/sheet10.xml" Id="Rb5c4e77b9bd74564" /></Relationships>
</file>

<file path=xl/drawings/_rels/drawing1.xml.rels>&#65279;<?xml version="1.0" encoding="utf-8"?><Relationships xmlns="http://schemas.openxmlformats.org/package/2006/relationships"><Relationship Type="http://schemas.openxmlformats.org/officeDocument/2006/relationships/chart" Target="/xl/drawings/charts/chart1.xml" Id="Rb99164382b4d49ef"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USD Proceeds vs. Terminal EUR/USD</a:t>
            </a:r>
          </a:p>
        </c:rich>
      </c:tx>
    </c:title>
    <c:plotArea>
      <c:lineChart>
        <c:grouping val="standard"/>
        <c:varyColors val="0"/>
        <c:ser>
          <c:idx val="0"/>
          <c:order val="0"/>
          <c:tx>
            <c:v>No Hedge</c:v>
          </c:tx>
          <c:marker>
            <c:symbol val="none"/>
          </c:marker>
          <c:cat>
            <c:strRef>
              <c:f>'Sensitivity'!$B$5:$B$15</c:f>
              <c:strCache>
                <c:ptCount val="0"/>
              </c:strCache>
            </c:strRef>
          </c:cat>
          <c:val>
            <c:numRef>
              <c:f>'Sensitivity'!$C$5:$C$15</c:f>
              <c:numCache>
                <c:formatCode>$#,##0.00;[Red]($#,##0.00);-</c:formatCode>
                <c:ptCount val="0"/>
              </c:numCache>
            </c:numRef>
          </c:val>
        </c:ser>
        <c:ser>
          <c:idx val="1"/>
          <c:order val="1"/>
          <c:tx>
            <c:v>Forward</c:v>
          </c:tx>
          <c:marker>
            <c:symbol val="none"/>
          </c:marker>
          <c:cat>
            <c:strRef>
              <c:f>'Sensitivity'!$B$5:$B$15</c:f>
              <c:strCache>
                <c:ptCount val="0"/>
              </c:strCache>
            </c:strRef>
          </c:cat>
          <c:val>
            <c:numRef>
              <c:f>'Sensitivity'!$D$5:$D$15</c:f>
              <c:numCache>
                <c:formatCode>$#,##0.00;[Red]($#,##0.00);-</c:formatCode>
                <c:ptCount val="0"/>
              </c:numCache>
            </c:numRef>
          </c:val>
        </c:ser>
        <c:ser>
          <c:idx val="2"/>
          <c:order val="2"/>
          <c:tx>
            <c:v>Money Market</c:v>
          </c:tx>
          <c:marker>
            <c:symbol val="none"/>
          </c:marker>
          <c:cat>
            <c:strRef>
              <c:f>'Sensitivity'!$B$5:$B$15</c:f>
              <c:strCache>
                <c:ptCount val="0"/>
              </c:strCache>
            </c:strRef>
          </c:cat>
          <c:val>
            <c:numRef>
              <c:f>'Sensitivity'!$E$5:$E$15</c:f>
              <c:numCache>
                <c:formatCode>$#,##0.00;[Red]($#,##0.00);-</c:formatCode>
                <c:ptCount val="0"/>
              </c:numCache>
            </c:numRef>
          </c:val>
        </c:ser>
        <c:ser>
          <c:idx val="3"/>
          <c:order val="3"/>
          <c:tx>
            <c:v>Put Net Proceeds</c:v>
          </c:tx>
          <c:marker>
            <c:symbol val="none"/>
          </c:marker>
          <c:cat>
            <c:strRef>
              <c:f>'Sensitivity'!$B$5:$B$15</c:f>
              <c:strCache>
                <c:ptCount val="0"/>
              </c:strCache>
            </c:strRef>
          </c:cat>
          <c:val>
            <c:numRef>
              <c:f>'Sensitivity'!$F$5:$F$15</c:f>
              <c:numCache>
                <c:formatCode>$#,##0.00;[Red]($#,##0.00);-</c:formatCode>
                <c:ptCount val="0"/>
              </c:numCache>
            </c:numRef>
          </c:val>
        </c:ser>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t"/>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12</xdr:col>
      <xdr:colOff>0</xdr:colOff>
      <xdr:row>12</xdr:row>
      <xdr:rowOff>0</xdr:rowOff>
    </xdr:from>
    <xdr:to>
      <xdr:col>21</xdr:col>
      <xdr:colOff>0</xdr:colOff>
      <xdr:row>31</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99164382b4d49ef"/>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7.xml.rels>&#65279;<?xml version="1.0" encoding="utf-8"?><Relationships xmlns="http://schemas.openxmlformats.org/package/2006/relationships"><Relationship Type="http://schemas.openxmlformats.org/officeDocument/2006/relationships/drawing" Target="/xl/drawings/drawing1.xml" Id="Reeedda4ac01a4577" /></Relationships>
</file>

<file path=xl/worksheets/sheet1.xml><?xml version="1.0" encoding="utf-8"?>
<x:worksheet xmlns:x="http://schemas.openxmlformats.org/spreadsheetml/2006/main">
  <x:sheetFormatPr defaultRowHeight="15"/>
  <x:cols>
    <x:col min="1" max="1" width="24" hidden="0" customWidth="1"/>
    <x:col min="2" max="2" width="35"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ht="20" customHeight="1">
      <x:c r="A1" s="34" t="str">
        <x:v>EUR Receivable FX Transaction Hedge Model</x:v>
      </x:c>
      <x:c r="B1" s="34"/>
      <x:c r="C1" s="34"/>
      <x:c r="D1" s="34"/>
      <x:c r="E1" s="34"/>
      <x:c r="F1" s="34"/>
      <x:c r="G1" s="34"/>
      <x:c r="H1" s="34"/>
    </x:row>
    <x:row r="2" ht="20" customHeight="1">
      <x:c r="A2" s="34"/>
      <x:c r="B2" s="34"/>
      <x:c r="C2" s="34"/>
      <x:c r="D2" s="34"/>
      <x:c r="E2" s="34"/>
      <x:c r="F2" s="34"/>
      <x:c r="G2" s="34"/>
      <x:c r="H2" s="34"/>
    </x:row>
    <x:row r="3" ht="20" customHeight="1">
      <x:c r="A3" s="35"/>
      <x:c r="B3" s="35"/>
      <x:c r="C3" s="35"/>
      <x:c r="D3" s="35"/>
      <x:c r="E3" s="35"/>
      <x:c r="F3" s="35"/>
      <x:c r="G3" s="35"/>
      <x:c r="H3" s="35"/>
    </x:row>
    <x:row r="4" ht="20" customHeight="1">
      <x:c r="A4" s="36" t="str">
        <x:v>Field</x:v>
      </x:c>
      <x:c r="B4" s="36" t="str">
        <x:v>Value</x:v>
      </x:c>
      <x:c r="C4" s="35"/>
      <x:c r="D4" s="35"/>
      <x:c r="E4" s="35"/>
      <x:c r="F4" s="35"/>
      <x:c r="G4" s="35"/>
      <x:c r="H4" s="35"/>
    </x:row>
    <x:row r="5" ht="20" customHeight="1">
      <x:c r="A5" s="37" t="str">
        <x:v>Scenario</x:v>
      </x:c>
      <x:c r="B5" s="35" t="str">
        <x:v>€4,500,000 EUR Receivable</x:v>
      </x:c>
      <x:c r="C5" s="35"/>
      <x:c r="D5" s="35"/>
      <x:c r="E5" s="35"/>
      <x:c r="F5" s="35"/>
      <x:c r="G5" s="35"/>
      <x:c r="H5" s="35"/>
    </x:row>
    <x:row r="6" ht="20" customHeight="1">
      <x:c r="A6" s="37" t="str">
        <x:v>Author</x:v>
      </x:c>
      <x:c r="B6" s="35" t="str">
        <x:v>Micah Yi</x:v>
      </x:c>
      <x:c r="C6" s="35"/>
      <x:c r="D6" s="35"/>
      <x:c r="E6" s="35"/>
      <x:c r="F6" s="35"/>
      <x:c r="G6" s="35"/>
      <x:c r="H6" s="35"/>
    </x:row>
    <x:row r="7" ht="20" customHeight="1">
      <x:c r="A7" s="37" t="str">
        <x:v>Date</x:v>
      </x:c>
      <x:c r="B7" s="35" t="str">
        <x:v>2026-08-07</x:v>
      </x:c>
      <x:c r="C7" s="35"/>
      <x:c r="D7" s="35"/>
      <x:c r="E7" s="35"/>
      <x:c r="F7" s="35"/>
      <x:c r="G7" s="35"/>
      <x:c r="H7" s="35"/>
    </x:row>
    <x:row r="8" ht="20" customHeight="1">
      <x:c r="A8" s="37" t="str">
        <x:v>Version</x:v>
      </x:c>
      <x:c r="B8" s="35" t="str">
        <x:v>0.2</x:v>
      </x:c>
      <x:c r="C8" s="35"/>
      <x:c r="D8" s="35"/>
      <x:c r="E8" s="35"/>
      <x:c r="F8" s="35"/>
      <x:c r="G8" s="35"/>
      <x:c r="H8" s="35"/>
    </x:row>
    <x:row r="9" ht="20" customHeight="1">
      <x:c r="A9" s="37" t="str">
        <x:v>Functional Currency</x:v>
      </x:c>
      <x:c r="B9" s="35" t="str">
        <x:v>USD</x:v>
      </x:c>
      <x:c r="C9" s="35"/>
      <x:c r="D9" s="35"/>
      <x:c r="E9" s="35"/>
      <x:c r="F9" s="35"/>
      <x:c r="G9" s="35"/>
      <x:c r="H9" s="35"/>
    </x:row>
    <x:row r="10" ht="20" customHeight="1">
      <x:c r="A10" s="37" t="str">
        <x:v>Quote Convention</x:v>
      </x:c>
      <x:c r="B10" s="35" t="str">
        <x:v>USD per EUR</x:v>
      </x:c>
      <x:c r="C10" s="35"/>
      <x:c r="D10" s="35"/>
      <x:c r="E10" s="35"/>
      <x:c r="F10" s="35"/>
      <x:c r="G10" s="35"/>
      <x:c r="H10" s="35"/>
    </x:row>
    <x:row r="11" ht="20" customHeight="1">
      <x:c r="A11" s="37" t="str">
        <x:v>Stage</x:v>
      </x:c>
      <x:c r="B11" s="35" t="str">
        <x:v>Stage 3 — AI-Assisted Build + Audit</x:v>
      </x:c>
      <x:c r="C11" s="35"/>
      <x:c r="D11" s="35"/>
      <x:c r="E11" s="35"/>
      <x:c r="F11" s="35"/>
      <x:c r="G11" s="35"/>
      <x:c r="H11" s="35"/>
    </x:row>
    <x:row r="12" ht="20" customHeight="1">
      <x:c r="A12" s="35"/>
      <x:c r="B12" s="35"/>
      <x:c r="C12" s="35"/>
      <x:c r="D12" s="35"/>
      <x:c r="E12" s="35"/>
      <x:c r="F12" s="35"/>
      <x:c r="G12" s="35"/>
      <x:c r="H12" s="35"/>
    </x:row>
    <x:row r="13" ht="20" customHeight="1">
      <x:c r="A13" s="38" t="str">
        <x:v>Data Provenance</x:v>
      </x:c>
      <x:c r="B13" s="38"/>
      <x:c r="C13" s="38"/>
      <x:c r="D13" s="38"/>
      <x:c r="E13" s="38"/>
      <x:c r="F13" s="38"/>
      <x:c r="G13" s="38"/>
      <x:c r="H13" s="38"/>
    </x:row>
    <x:row r="14" ht="20" customHeight="1">
      <x:c r="A14" s="39" t="str">
        <x:v>This workbook has been independently checked against multiple public sources as of 7 August 2026. EUR/USD spot is verified from the ECB and cross-checked with the Bank of Finland. The EUR rate uses a public 12-month Euribor reference; the USD rate uses the U.S. Treasury 1-year CMT as a clearly labeled one-year proxy, with SOFR recorded as a cross-check. F0_in is model-implied from covered interest parity because an exact public one-year dealer forward quote was not verified. Put/call premiums remain explicit placeholders because an exact comparable 1-year option quote was not verified. No unverified value is labeled as live market data.</x:v>
      </x:c>
      <x:c r="B14" s="39"/>
      <x:c r="C14" s="39"/>
      <x:c r="D14" s="39"/>
      <x:c r="E14" s="39"/>
      <x:c r="F14" s="39"/>
      <x:c r="G14" s="39"/>
      <x:c r="H14" s="39"/>
    </x:row>
    <x:row r="15" ht="20" customHeight="1">
      <x:c r="A15" s="39"/>
      <x:c r="B15" s="39"/>
      <x:c r="C15" s="39"/>
      <x:c r="D15" s="39"/>
      <x:c r="E15" s="39"/>
      <x:c r="F15" s="39"/>
      <x:c r="G15" s="39"/>
      <x:c r="H15" s="39"/>
    </x:row>
    <x:row r="16" ht="20" customHeight="1">
      <x:c r="A16" s="39"/>
      <x:c r="B16" s="39"/>
      <x:c r="C16" s="39"/>
      <x:c r="D16" s="39"/>
      <x:c r="E16" s="39"/>
      <x:c r="F16" s="39"/>
      <x:c r="G16" s="39"/>
      <x:c r="H16" s="39"/>
    </x:row>
    <x:row r="17" ht="20" customHeight="1">
      <x:c r="A17" s="39"/>
      <x:c r="B17" s="39"/>
      <x:c r="C17" s="39"/>
      <x:c r="D17" s="39"/>
      <x:c r="E17" s="39"/>
      <x:c r="F17" s="39"/>
      <x:c r="G17" s="39"/>
      <x:c r="H17" s="39"/>
    </x:row>
    <x:row r="18" ht="20" customHeight="1">
      <x:c r="A18" s="39"/>
      <x:c r="B18" s="39"/>
      <x:c r="C18" s="39"/>
      <x:c r="D18" s="39"/>
      <x:c r="E18" s="39"/>
      <x:c r="F18" s="39"/>
      <x:c r="G18" s="39"/>
      <x:c r="H18" s="39"/>
    </x:row>
    <x:row r="19" ht="20" customHeight="1">
      <x:c r="A19" s="35"/>
      <x:c r="B19" s="35"/>
      <x:c r="C19" s="35"/>
      <x:c r="D19" s="35"/>
      <x:c r="E19" s="35"/>
      <x:c r="F19" s="35"/>
      <x:c r="G19" s="35"/>
      <x:c r="H19" s="35"/>
    </x:row>
    <x:row r="20" ht="20" customHeight="1">
      <x:c r="A20" s="36" t="str">
        <x:v>Status</x:v>
      </x:c>
      <x:c r="B20" s="36" t="str">
        <x:v>Value</x:v>
      </x:c>
      <x:c r="C20" s="35"/>
      <x:c r="D20" s="35"/>
      <x:c r="E20" s="35"/>
      <x:c r="F20" s="35"/>
      <x:c r="G20" s="35"/>
      <x:c r="H20" s="35"/>
    </x:row>
    <x:row r="21" ht="20" customHeight="1">
      <x:c r="A21" s="37" t="str">
        <x:v>Model Integrity</x:v>
      </x:c>
      <x:c r="B21" s="35" t="str">
        <x:v>See Validation tab</x:v>
      </x:c>
      <x:c r="C21" s="35"/>
      <x:c r="D21" s="35"/>
      <x:c r="E21" s="35"/>
      <x:c r="F21" s="35"/>
      <x:c r="G21" s="35"/>
      <x:c r="H21" s="35"/>
    </x:row>
    <x:row r="22" ht="20" customHeight="1">
      <x:c r="A22" s="37" t="str">
        <x:v>Market Data</x:v>
      </x:c>
      <x:c r="B22" s="40" t="str">
        <x:v>MIXED: VERIFIED + PROXY + PLACEHOLDER</x:v>
      </x:c>
      <x:c r="C22" s="35"/>
      <x:c r="D22" s="35"/>
      <x:c r="E22" s="35"/>
      <x:c r="F22" s="35"/>
      <x:c r="G22" s="35"/>
      <x:c r="H22" s="35"/>
    </x:row>
    <x:row r="23" ht="20" customHeight="1">
      <x:c r="A23" s="35"/>
      <x:c r="B23" s="35"/>
      <x:c r="C23" s="35"/>
      <x:c r="D23" s="35"/>
      <x:c r="E23" s="35"/>
      <x:c r="F23" s="35"/>
      <x:c r="G23" s="35"/>
      <x:c r="H23" s="35"/>
    </x:row>
    <x:row r="24" ht="20" customHeight="1">
      <x:c r="A24" s="35"/>
      <x:c r="B24" s="35"/>
      <x:c r="C24" s="35"/>
      <x:c r="D24" s="35"/>
      <x:c r="E24" s="35"/>
      <x:c r="F24" s="35"/>
      <x:c r="G24" s="35"/>
      <x:c r="H24" s="35"/>
    </x:row>
    <x:row r="25" ht="20" customHeight="1">
      <x:c r="A25" s="35"/>
      <x:c r="B25" s="35"/>
      <x:c r="C25" s="35"/>
      <x:c r="D25" s="35"/>
      <x:c r="E25" s="35"/>
      <x:c r="F25" s="35"/>
      <x:c r="G25" s="35"/>
      <x:c r="H25" s="35"/>
    </x:row>
    <x:row r="26" ht="20" customHeight="1"/>
    <x:row r="27" ht="20" customHeight="1"/>
    <x:row r="28" ht="20" customHeight="1"/>
    <x:row r="29" ht="20" customHeight="1"/>
    <x:row r="30" ht="20" customHeight="1"/>
    <x:row r="31" ht="20" customHeight="1"/>
    <x:row r="32" ht="20" customHeight="1"/>
    <x:row r="33" ht="20" customHeight="1"/>
    <x:row r="34" ht="20" customHeight="1"/>
    <x:row r="35" ht="20" customHeight="1"/>
    <x:row r="36" ht="20" customHeight="1"/>
    <x:row r="37" ht="20" customHeight="1"/>
    <x:row r="38" ht="20" customHeight="1"/>
    <x:row r="39" ht="20" customHeight="1"/>
    <x:row r="40" ht="20" customHeight="1"/>
  </x:sheetData>
  <x:mergeCells>
    <x:mergeCell ref="A1:H2"/>
    <x:mergeCell ref="A13:H13"/>
    <x:mergeCell ref="A14:H18"/>
  </x:mergeCells>
  <x:pageMargins left="0.7" right="0.7" top="0.75" bottom="0.75" header="0.3" footer="0.3"/>
</x:worksheet>
</file>

<file path=xl/worksheets/sheet2.xml><?xml version="1.0" encoding="utf-8"?>
<x:worksheet xmlns:x="http://schemas.openxmlformats.org/spreadsheetml/2006/main">
  <x:sheetFormatPr defaultRowHeight="15"/>
  <x:cols>
    <x:col min="1" max="1" width="22" hidden="0" customWidth="1"/>
    <x:col min="2" max="2" width="38" hidden="0" customWidth="1"/>
    <x:col min="3" max="3" width="22" hidden="0" customWidth="1"/>
    <x:col min="4" max="4" width="22" hidden="0" customWidth="1"/>
    <x:col min="5" max="5" width="22" hidden="0" customWidth="1"/>
    <x:col min="6" max="6" width="22" hidden="0" customWidth="1"/>
  </x:cols>
  <x:sheetData>
    <x:row r="1" ht="20" customHeight="1">
      <x:c r="A1" s="34" t="str">
        <x:v>Legend / Key</x:v>
      </x:c>
      <x:c r="B1" s="34"/>
      <x:c r="C1" s="34"/>
      <x:c r="D1" s="34"/>
      <x:c r="E1" s="34"/>
      <x:c r="F1" s="34"/>
    </x:row>
    <x:row r="2" ht="20" customHeight="1">
      <x:c r="A2" s="34"/>
      <x:c r="B2" s="34"/>
      <x:c r="C2" s="34"/>
      <x:c r="D2" s="34"/>
      <x:c r="E2" s="34"/>
      <x:c r="F2" s="34"/>
    </x:row>
    <x:row r="3" ht="20" customHeight="1">
      <x:c r="A3" s="35"/>
      <x:c r="B3" s="35"/>
      <x:c r="C3" s="35"/>
      <x:c r="D3" s="35"/>
      <x:c r="E3" s="35"/>
      <x:c r="F3" s="35"/>
    </x:row>
    <x:row r="4" ht="20" customHeight="1">
      <x:c r="A4" s="36" t="str">
        <x:v>Color</x:v>
      </x:c>
      <x:c r="B4" s="36" t="str">
        <x:v>Meaning</x:v>
      </x:c>
      <x:c r="C4" s="36" t="str">
        <x:v>Use</x:v>
      </x:c>
      <x:c r="D4" s="35"/>
      <x:c r="E4" s="35"/>
      <x:c r="F4" s="35"/>
    </x:row>
    <x:row r="5" ht="20" customHeight="1">
      <x:c r="A5" s="60" t="str">
        <x:v>Yellow</x:v>
      </x:c>
      <x:c r="B5" s="35" t="str">
        <x:v>Inputs</x:v>
      </x:c>
      <x:c r="C5" s="35" t="str">
        <x:v>Editable scenario / market inputs</x:v>
      </x:c>
      <x:c r="D5" s="35"/>
      <x:c r="E5" s="35"/>
      <x:c r="F5" s="35"/>
    </x:row>
    <x:row r="6" ht="20" customHeight="1">
      <x:c r="A6" s="40" t="str">
        <x:v>Blue</x:v>
      </x:c>
      <x:c r="B6" s="35" t="str">
        <x:v>Assumptions</x:v>
      </x:c>
      <x:c r="C6" s="35" t="str">
        <x:v>Model conventions and analyst-controlled assumptions</x:v>
      </x:c>
      <x:c r="D6" s="35"/>
      <x:c r="E6" s="35"/>
      <x:c r="F6" s="35"/>
    </x:row>
    <x:row r="7" ht="20" customHeight="1">
      <x:c r="A7" s="61" t="str">
        <x:v>Green</x:v>
      </x:c>
      <x:c r="B7" s="35" t="str">
        <x:v>Formulas</x:v>
      </x:c>
      <x:c r="C7" s="35" t="str">
        <x:v>Calculated cells and model logic</x:v>
      </x:c>
      <x:c r="D7" s="35"/>
      <x:c r="E7" s="35"/>
      <x:c r="F7" s="35"/>
    </x:row>
    <x:row r="8" ht="20" customHeight="1">
      <x:c r="A8" s="62" t="str">
        <x:v>Gray</x:v>
      </x:c>
      <x:c r="B8" s="35" t="str">
        <x:v>Outputs</x:v>
      </x:c>
      <x:c r="C8" s="35" t="str">
        <x:v>Summary results / decision outputs</x:v>
      </x:c>
      <x:c r="D8" s="35"/>
      <x:c r="E8" s="35"/>
      <x:c r="F8" s="35"/>
    </x:row>
    <x:row r="9" ht="20" customHeight="1">
      <x:c r="A9" s="35"/>
      <x:c r="B9" s="35"/>
      <x:c r="C9" s="35"/>
      <x:c r="D9" s="35"/>
      <x:c r="E9" s="35"/>
      <x:c r="F9" s="35"/>
    </x:row>
    <x:row r="10" ht="20" customHeight="1">
      <x:c r="A10" s="36" t="str">
        <x:v>Required Named Range</x:v>
      </x:c>
      <x:c r="B10" s="36" t="str">
        <x:v>Description</x:v>
      </x:c>
      <x:c r="C10" s="36" t="str">
        <x:v>Unit</x:v>
      </x:c>
      <x:c r="D10" s="36" t="str">
        <x:v>Workbook Cell</x:v>
      </x:c>
      <x:c r="E10" s="35"/>
      <x:c r="F10" s="35"/>
    </x:row>
    <x:row r="11" ht="20" customHeight="1">
      <x:c r="A11" s="35" t="str">
        <x:v>FC_AMT</x:v>
      </x:c>
      <x:c r="B11" s="35" t="str">
        <x:v>Foreign-currency receivable</x:v>
      </x:c>
      <x:c r="C11" s="35" t="str">
        <x:v>EUR</x:v>
      </x:c>
      <x:c r="D11" s="35" t="str">
        <x:v>Inputs!C6</x:v>
      </x:c>
      <x:c r="E11" s="35"/>
      <x:c r="F11" s="35"/>
    </x:row>
    <x:row r="12" ht="20" customHeight="1">
      <x:c r="A12" s="35" t="str">
        <x:v>S0_in</x:v>
      </x:c>
      <x:c r="B12" s="35" t="str">
        <x:v>Spot rate at inception</x:v>
      </x:c>
      <x:c r="C12" s="35" t="str">
        <x:v>USD/EUR</x:v>
      </x:c>
      <x:c r="D12" s="35" t="str">
        <x:v>Inputs!C7</x:v>
      </x:c>
      <x:c r="E12" s="35"/>
      <x:c r="F12" s="35"/>
    </x:row>
    <x:row r="13" ht="20" customHeight="1">
      <x:c r="A13" s="35" t="str">
        <x:v>F0_in</x:v>
      </x:c>
      <x:c r="B13" s="35" t="str">
        <x:v>Forward rate</x:v>
      </x:c>
      <x:c r="C13" s="35" t="str">
        <x:v>USD/EUR</x:v>
      </x:c>
      <x:c r="D13" s="35" t="str">
        <x:v>Inputs!C8</x:v>
      </x:c>
      <x:c r="E13" s="35"/>
      <x:c r="F13" s="35"/>
    </x:row>
    <x:row r="14" ht="20" customHeight="1">
      <x:c r="A14" s="35" t="str">
        <x:v>R_USD</x:v>
      </x:c>
      <x:c r="B14" s="35" t="str">
        <x:v>USD interest rate</x:v>
      </x:c>
      <x:c r="C14" s="35" t="str">
        <x:v>Annual %</x:v>
      </x:c>
      <x:c r="D14" s="35" t="str">
        <x:v>Inputs!C9</x:v>
      </x:c>
      <x:c r="E14" s="35"/>
      <x:c r="F14" s="35"/>
    </x:row>
    <x:row r="15" ht="20" customHeight="1">
      <x:c r="A15" s="35" t="str">
        <x:v>R_FC</x:v>
      </x:c>
      <x:c r="B15" s="35" t="str">
        <x:v>EUR interest rate</x:v>
      </x:c>
      <x:c r="C15" s="35" t="str">
        <x:v>Annual %</x:v>
      </x:c>
      <x:c r="D15" s="35" t="str">
        <x:v>Inputs!C10</x:v>
      </x:c>
      <x:c r="E15" s="35"/>
      <x:c r="F15" s="35"/>
    </x:row>
    <x:row r="16" ht="20" customHeight="1">
      <x:c r="A16" s="35" t="str">
        <x:v>K_PUT</x:v>
      </x:c>
      <x:c r="B16" s="35" t="str">
        <x:v>Put strike</x:v>
      </x:c>
      <x:c r="C16" s="35" t="str">
        <x:v>USD/EUR</x:v>
      </x:c>
      <x:c r="D16" s="35" t="str">
        <x:v>Inputs!C11</x:v>
      </x:c>
      <x:c r="E16" s="35"/>
      <x:c r="F16" s="35"/>
    </x:row>
    <x:row r="17" ht="20" customHeight="1">
      <x:c r="A17" s="35" t="str">
        <x:v>K_CALL</x:v>
      </x:c>
      <x:c r="B17" s="35" t="str">
        <x:v>Call strike</x:v>
      </x:c>
      <x:c r="C17" s="35" t="str">
        <x:v>USD/EUR</x:v>
      </x:c>
      <x:c r="D17" s="35" t="str">
        <x:v>Inputs!C12</x:v>
      </x:c>
      <x:c r="E17" s="35"/>
      <x:c r="F17" s="35"/>
    </x:row>
    <x:row r="18" ht="20" customHeight="1">
      <x:c r="A18" s="35" t="str">
        <x:v>PREM_PUT</x:v>
      </x:c>
      <x:c r="B18" s="35" t="str">
        <x:v>Put premium per EUR</x:v>
      </x:c>
      <x:c r="C18" s="35" t="str">
        <x:v>USD/EUR</x:v>
      </x:c>
      <x:c r="D18" s="35" t="str">
        <x:v>Inputs!C13</x:v>
      </x:c>
      <x:c r="E18" s="35"/>
      <x:c r="F18" s="35"/>
    </x:row>
    <x:row r="19" ht="20" customHeight="1">
      <x:c r="A19" s="35" t="str">
        <x:v>PREM_CALL</x:v>
      </x:c>
      <x:c r="B19" s="35" t="str">
        <x:v>Call premium per EUR</x:v>
      </x:c>
      <x:c r="C19" s="35" t="str">
        <x:v>USD/EUR</x:v>
      </x:c>
      <x:c r="D19" s="35" t="str">
        <x:v>Inputs!C14</x:v>
      </x:c>
      <x:c r="E19" s="35"/>
      <x:c r="F19" s="35"/>
    </x:row>
    <x:row r="20" ht="20" customHeight="1">
      <x:c r="A20" s="35" t="str">
        <x:v>T_DAYS</x:v>
      </x:c>
      <x:c r="B20" s="35" t="str">
        <x:v>Days to settlement</x:v>
      </x:c>
      <x:c r="C20" s="35" t="str">
        <x:v>Days</x:v>
      </x:c>
      <x:c r="D20" s="35" t="str">
        <x:v>Inputs!C15</x:v>
      </x:c>
      <x:c r="E20" s="35"/>
      <x:c r="F20" s="35"/>
    </x:row>
    <x:row r="21" ht="20" customHeight="1">
      <x:c r="A21" s="35"/>
      <x:c r="B21" s="35"/>
      <x:c r="C21" s="35"/>
      <x:c r="D21" s="35"/>
      <x:c r="E21" s="35"/>
      <x:c r="F21" s="35"/>
    </x:row>
    <x:row r="22" ht="20" customHeight="1">
      <x:c r="A22" s="36" t="str">
        <x:v>Additional Model Name</x:v>
      </x:c>
      <x:c r="B22" s="36" t="str">
        <x:v>Description</x:v>
      </x:c>
      <x:c r="C22" s="36" t="str">
        <x:v>Unit</x:v>
      </x:c>
      <x:c r="D22" s="36" t="str">
        <x:v>Workbook Cell</x:v>
      </x:c>
      <x:c r="E22" s="35"/>
      <x:c r="F22" s="35"/>
    </x:row>
    <x:row r="23" ht="20" customHeight="1">
      <x:c r="A23" s="35" t="str">
        <x:v>BASIS</x:v>
      </x:c>
      <x:c r="B23" s="35" t="str">
        <x:v>Day-count denominator</x:v>
      </x:c>
      <x:c r="C23" s="35" t="str">
        <x:v>Days</x:v>
      </x:c>
      <x:c r="D23" s="35" t="str">
        <x:v>Inputs!C16</x:v>
      </x:c>
      <x:c r="E23" s="35"/>
      <x:c r="F23" s="35"/>
    </x:row>
    <x:row r="24" ht="20" customHeight="1">
      <x:c r="A24" s="35" t="str">
        <x:v>SENS_LOW</x:v>
      </x:c>
      <x:c r="B24" s="35" t="str">
        <x:v>Sensitivity lower factor</x:v>
      </x:c>
      <x:c r="C24" s="35" t="str">
        <x:v>% of S0_in</x:v>
      </x:c>
      <x:c r="D24" s="35" t="str">
        <x:v>Inputs!C17</x:v>
      </x:c>
      <x:c r="E24" s="35"/>
      <x:c r="F24" s="35"/>
    </x:row>
    <x:row r="25" ht="20" customHeight="1">
      <x:c r="A25" s="35" t="str">
        <x:v>SENS_STEP</x:v>
      </x:c>
      <x:c r="B25" s="35" t="str">
        <x:v>Sensitivity step</x:v>
      </x:c>
      <x:c r="C25" s="35" t="str">
        <x:v>% of S0_in</x:v>
      </x:c>
      <x:c r="D25" s="35" t="str">
        <x:v>Inputs!C18</x:v>
      </x:c>
      <x:c r="E25" s="35"/>
      <x:c r="F25" s="35"/>
    </x:row>
    <x:row r="26" ht="20" customHeight="1">
      <x:c r="A26" s="35"/>
      <x:c r="B26" s="35"/>
      <x:c r="C26" s="35"/>
      <x:c r="D26" s="35"/>
      <x:c r="E26" s="35"/>
      <x:c r="F26" s="35"/>
    </x:row>
    <x:row r="27" ht="20" customHeight="1">
      <x:c r="A27" s="39" t="str">
        <x:v>Formula convention: major calculated cells are formula-driven. Cross-sheet logic should ultimately trace back to the named input contract. Placeholder inputs are deliberately separated from formula-integrity validation.</x:v>
      </x:c>
      <x:c r="B27" s="39"/>
      <x:c r="C27" s="39"/>
      <x:c r="D27" s="39"/>
      <x:c r="E27" s="39"/>
      <x:c r="F27" s="39"/>
    </x:row>
    <x:row r="28" ht="20" customHeight="1">
      <x:c r="A28" s="39"/>
      <x:c r="B28" s="39"/>
      <x:c r="C28" s="39"/>
      <x:c r="D28" s="39"/>
      <x:c r="E28" s="39"/>
      <x:c r="F28" s="39"/>
    </x:row>
    <x:row r="29" ht="20" customHeight="1">
      <x:c r="A29" s="39"/>
      <x:c r="B29" s="39"/>
      <x:c r="C29" s="39"/>
      <x:c r="D29" s="39"/>
      <x:c r="E29" s="39"/>
      <x:c r="F29" s="39"/>
    </x:row>
    <x:row r="30" ht="20" customHeight="1">
      <x:c r="A30" s="39"/>
      <x:c r="B30" s="39"/>
      <x:c r="C30" s="39"/>
      <x:c r="D30" s="39"/>
      <x:c r="E30" s="39"/>
      <x:c r="F30" s="39"/>
    </x:row>
    <x:row r="31" ht="20" customHeight="1">
      <x:c r="A31" s="35"/>
      <x:c r="B31" s="35"/>
      <x:c r="C31" s="35"/>
      <x:c r="D31" s="35"/>
      <x:c r="E31" s="35"/>
      <x:c r="F31" s="35"/>
    </x:row>
    <x:row r="32" ht="20" customHeight="1">
      <x:c r="A32" s="35"/>
      <x:c r="B32" s="35"/>
      <x:c r="C32" s="35"/>
      <x:c r="D32" s="35"/>
      <x:c r="E32" s="35"/>
      <x:c r="F32" s="35"/>
    </x:row>
    <x:row r="33" ht="20" customHeight="1"/>
    <x:row r="34" ht="20" customHeight="1"/>
    <x:row r="35" ht="20" customHeight="1"/>
    <x:row r="36" ht="20" customHeight="1"/>
    <x:row r="37" ht="20" customHeight="1"/>
    <x:row r="38" ht="20" customHeight="1"/>
    <x:row r="39" ht="20" customHeight="1"/>
    <x:row r="40" ht="20" customHeight="1"/>
  </x:sheetData>
  <x:mergeCells>
    <x:mergeCell ref="A1:F2"/>
    <x:mergeCell ref="A27:F30"/>
  </x:mergeCells>
  <x:pageMargins left="0.7" right="0.7" top="0.75" bottom="0.75" header="0.3" footer="0.3"/>
</x:worksheet>
</file>

<file path=xl/worksheets/sheet3.xml><?xml version="1.0" encoding="utf-8"?>
<x:worksheet xmlns:x="http://schemas.openxmlformats.org/spreadsheetml/2006/main">
  <x:sheetFormatPr defaultRowHeight="15"/>
  <x:cols>
    <x:col min="1" max="1" width="20" hidden="0" customWidth="1"/>
    <x:col min="2" max="2" width="38" hidden="0" customWidth="1"/>
    <x:col min="3" max="3" width="20" hidden="0" customWidth="1"/>
    <x:col min="4" max="4" width="20" hidden="0" customWidth="1"/>
    <x:col min="5" max="5" width="20" hidden="0" customWidth="1"/>
    <x:col min="6" max="6" width="24" hidden="0" customWidth="1"/>
    <x:col min="7" max="7" width="48" hidden="0" customWidth="1"/>
    <x:col min="8" max="8" width="20" hidden="0" customWidth="1"/>
    <x:col min="9" max="9" width="52" hidden="0" customWidth="1"/>
    <x:col min="10" max="10" width="58" hidden="0" customWidth="1"/>
  </x:cols>
  <x:sheetData>
    <x:row r="1" ht="20" customHeight="1">
      <x:c r="A1" s="34" t="str">
        <x:v>Inputs — Named-Range Contract</x:v>
      </x:c>
      <x:c r="B1" s="34"/>
      <x:c r="C1" s="34"/>
      <x:c r="D1" s="34"/>
      <x:c r="E1" s="34"/>
      <x:c r="F1" s="34"/>
      <x:c r="G1" s="34"/>
      <x:c r="H1" s="34"/>
    </x:row>
    <x:row r="2" ht="20" customHeight="1">
      <x:c r="A2" s="34"/>
      <x:c r="B2" s="34"/>
      <x:c r="C2" s="34"/>
      <x:c r="D2" s="34"/>
      <x:c r="E2" s="34"/>
      <x:c r="F2" s="34"/>
      <x:c r="G2" s="34"/>
      <x:c r="H2" s="34"/>
    </x:row>
    <x:row r="3" ht="20" customHeight="1">
      <x:c r="A3" s="35"/>
      <x:c r="B3" s="35"/>
      <x:c r="C3" s="35"/>
      <x:c r="D3" s="35"/>
      <x:c r="E3" s="35"/>
      <x:c r="F3" s="35"/>
      <x:c r="G3" s="35"/>
      <x:c r="H3" s="35"/>
    </x:row>
    <x:row r="4" ht="20" customHeight="1">
      <x:c r="A4" s="36" t="str">
        <x:v>Named Range</x:v>
      </x:c>
      <x:c r="B4" s="36" t="str">
        <x:v>Description</x:v>
      </x:c>
      <x:c r="C4" s="36" t="str">
        <x:v>Value</x:v>
      </x:c>
      <x:c r="D4" s="36" t="str">
        <x:v>Unit</x:v>
      </x:c>
      <x:c r="E4" s="36" t="str">
        <x:v>Type</x:v>
      </x:c>
      <x:c r="F4" s="36" t="str">
        <x:v>Status</x:v>
      </x:c>
      <x:c r="G4" s="36" t="str">
        <x:v>Source</x:v>
      </x:c>
      <x:c r="H4" s="36" t="str">
        <x:v>As-of Date</x:v>
      </x:c>
      <x:c r="I4" s="126" t="str">
        <x:v>Primary Source URL</x:v>
      </x:c>
      <x:c r="J4" s="126" t="str">
        <x:v>Cross-check / Notes</x:v>
      </x:c>
    </x:row>
    <x:row r="5" ht="20" customHeight="1">
      <x:c r="A5" s="122"/>
      <x:c r="B5" s="122"/>
      <x:c r="C5" s="122"/>
      <x:c r="D5" s="122"/>
      <x:c r="E5" s="122"/>
      <x:c r="F5" s="122"/>
      <x:c r="G5" s="122"/>
      <x:c r="H5" s="122"/>
      <x:c r="I5" s="120"/>
      <x:c r="J5" s="120"/>
    </x:row>
    <x:row r="6" ht="20" customHeight="1">
      <x:c r="A6" s="122" t="str">
        <x:v>FC_AMT</x:v>
      </x:c>
      <x:c r="B6" s="122" t="str">
        <x:v>EUR receivable amount</x:v>
      </x:c>
      <x:c r="C6" s="127" t="n">
        <x:v>4500000</x:v>
      </x:c>
      <x:c r="D6" s="122" t="str">
        <x:v>EUR</x:v>
      </x:c>
      <x:c r="E6" s="122" t="str">
        <x:v>Input</x:v>
      </x:c>
      <x:c r="F6" s="122" t="str">
        <x:v>FIXED</x:v>
      </x:c>
      <x:c r="G6" s="122" t="str">
        <x:v>Stage 2 scenario/specification</x:v>
      </x:c>
      <x:c r="H6" s="122" t="str">
        <x:v>2026-08-07</x:v>
      </x:c>
      <x:c r="I6" s="120" t="str"/>
      <x:c r="J6" s="120" t="str">
        <x:v>Fixed contractual/scenario amount</x:v>
      </x:c>
    </x:row>
    <x:row r="7" ht="20" customHeight="1">
      <x:c r="A7" s="122" t="str">
        <x:v>S0_in</x:v>
      </x:c>
      <x:c r="B7" s="122" t="str">
        <x:v>EUR/USD spot rate at inception</x:v>
      </x:c>
      <x:c r="C7" s="128" t="n">
        <x:v>1.1535</x:v>
      </x:c>
      <x:c r="D7" s="122" t="str">
        <x:v>USD/EUR</x:v>
      </x:c>
      <x:c r="E7" s="122" t="str">
        <x:v>Input</x:v>
      </x:c>
      <x:c r="F7" s="122" t="str">
        <x:v>VERIFIED</x:v>
      </x:c>
      <x:c r="G7" s="122" t="str">
        <x:v>ECB reference rate; cross-check Bank of Finland</x:v>
      </x:c>
      <x:c r="H7" s="122" t="str">
        <x:v>2026-08-07</x:v>
      </x:c>
      <x:c r="I7" s="120" t="str">
        <x:v>https://www.ecb.europa.eu/stats/policy_and_exchange_rates/euro_reference_exchange_rates/html/index.en.html</x:v>
      </x:c>
      <x:c r="J7" s="120" t="str">
        <x:v>Bank of Finland also reports EUR/USD 1.1535 for 7 Aug 2026.</x:v>
      </x:c>
    </x:row>
    <x:row r="8" ht="20" customHeight="1">
      <x:c r="A8" s="122" t="str">
        <x:v>F0_in</x:v>
      </x:c>
      <x:c r="B8" s="122" t="str">
        <x:v>EUR/USD forward rate to settlement</x:v>
      </x:c>
      <x:c r="C8" s="128" t="n">
        <x:f>S0_in*(1+R_USD*T_DAYS/BASIS)/(1+R_FC*T_DAYS/BASIS)</x:f>
        <x:v>1.1661338573529922</x:v>
      </x:c>
      <x:c r="D8" s="122" t="str">
        <x:v>USD/EUR</x:v>
      </x:c>
      <x:c r="E8" s="122" t="str">
        <x:v>Input</x:v>
      </x:c>
      <x:c r="F8" s="122" t="str">
        <x:v>MODEL-IMPLIED</x:v>
      </x:c>
      <x:c r="G8" s="122" t="str">
        <x:v>Covered-interest-parity formula from verified/proxy rates; NOT a live dealer forward quote</x:v>
      </x:c>
      <x:c r="H8" s="122" t="str">
        <x:v>2026-08-07</x:v>
      </x:c>
      <x:c r="I8" s="120" t="str"/>
      <x:c r="J8" s="120" t="str">
        <x:v>No exact public 1-year dealer forward quote used. Value is CIP-implied; replace with dealer/market quote at Stage 4.</x:v>
      </x:c>
    </x:row>
    <x:row r="9" ht="20" customHeight="1">
      <x:c r="A9" s="122" t="str">
        <x:v>R_USD</x:v>
      </x:c>
      <x:c r="B9" s="122" t="str">
        <x:v>USD money-market interest rate</x:v>
      </x:c>
      <x:c r="C9" s="129" t="n">
        <x:v>0.0401</x:v>
      </x:c>
      <x:c r="D9" s="122" t="str">
        <x:v>Annual %</x:v>
      </x:c>
      <x:c r="E9" s="122" t="str">
        <x:v>Input</x:v>
      </x:c>
      <x:c r="F9" s="122" t="str">
        <x:v>VERIFIED PROXY</x:v>
      </x:c>
      <x:c r="G9" s="122" t="str">
        <x:v>U.S. Treasury 1-year CMT; one-year USD rate proxy, not Term SOFR</x:v>
      </x:c>
      <x:c r="H9" s="122" t="str">
        <x:v>2026-08-07</x:v>
      </x:c>
      <x:c r="I9" s="120" t="str">
        <x:v>https://home.treasury.gov/</x:v>
      </x:c>
      <x:c r="J9" s="120" t="str">
        <x:v>Cross-check: NY Fed/FRED SOFR = 3.65% for 6 Aug 2026; tenor differs, so 4.01% 1Y Treasury is retained only as a one-year proxy.</x:v>
      </x:c>
    </x:row>
    <x:row r="10" ht="20" customHeight="1">
      <x:c r="A10" s="122" t="str">
        <x:v>R_FC</x:v>
      </x:c>
      <x:c r="B10" s="122" t="str">
        <x:v>EUR money-market interest rate</x:v>
      </x:c>
      <x:c r="C10" s="129" t="n">
        <x:v>0.02898</x:v>
      </x:c>
      <x:c r="D10" s="122" t="str">
        <x:v>Annual %</x:v>
      </x:c>
      <x:c r="E10" s="122" t="str">
        <x:v>Input</x:v>
      </x:c>
      <x:c r="F10" s="122" t="str">
        <x:v>VERIFIED</x:v>
      </x:c>
      <x:c r="G10" s="122" t="str">
        <x:v>12-month Euribor public bank reference; BoF prior-day official cross-check</x:v>
      </x:c>
      <x:c r="H10" s="122" t="str">
        <x:v>2026-08-07</x:v>
      </x:c>
      <x:c r="I10" s="120" t="str">
        <x:v>https://businessbanking.bankofireland.com/credit/business-loans/business-banking-reference-rates/</x:v>
      </x:c>
      <x:c r="J10" s="120" t="str">
        <x:v>Bank of Finland reports 12m Euribor 2.884% for 6 Aug; public Bank of Ireland reference shows 2.898% current.</x:v>
      </x:c>
    </x:row>
    <x:row r="11" ht="20" customHeight="1">
      <x:c r="A11" s="122" t="str">
        <x:v>K_PUT</x:v>
      </x:c>
      <x:c r="B11" s="122" t="str">
        <x:v>EUR put option strike</x:v>
      </x:c>
      <x:c r="C11" s="128" t="n">
        <x:f>S0_in</x:f>
        <x:v>1.1535</x:v>
      </x:c>
      <x:c r="D11" s="122" t="str">
        <x:v>USD/EUR</x:v>
      </x:c>
      <x:c r="E11" s="122" t="str">
        <x:v>Input</x:v>
      </x:c>
      <x:c r="F11" s="122" t="str">
        <x:v>ASSUMPTION</x:v>
      </x:c>
      <x:c r="G11" s="122" t="str">
        <x:v>Set equal to S0_in (at-the-money strike) until live option quote is obtained</x:v>
      </x:c>
      <x:c r="H11" s="122" t="str">
        <x:v>2026-08-07</x:v>
      </x:c>
      <x:c r="I11" s="120" t="str"/>
      <x:c r="J11" s="120" t="str">
        <x:v>ATM strike assumption = S0_in, not a quoted market option strike.</x:v>
      </x:c>
    </x:row>
    <x:row r="12" ht="20" customHeight="1">
      <x:c r="A12" s="122" t="str">
        <x:v>K_CALL</x:v>
      </x:c>
      <x:c r="B12" s="122" t="str">
        <x:v>EUR call option strike</x:v>
      </x:c>
      <x:c r="C12" s="128" t="n">
        <x:f>S0_in</x:f>
        <x:v>1.1535</x:v>
      </x:c>
      <x:c r="D12" s="122" t="str">
        <x:v>USD/EUR</x:v>
      </x:c>
      <x:c r="E12" s="122" t="str">
        <x:v>Input</x:v>
      </x:c>
      <x:c r="F12" s="122" t="str">
        <x:v>ASSUMPTION</x:v>
      </x:c>
      <x:c r="G12" s="122" t="str">
        <x:v>Set equal to S0_in (at-the-money strike) until live option quote is obtained</x:v>
      </x:c>
      <x:c r="H12" s="122" t="str">
        <x:v>2026-08-07</x:v>
      </x:c>
      <x:c r="I12" s="120" t="str"/>
      <x:c r="J12" s="120" t="str">
        <x:v>ATM strike assumption = S0_in, not a quoted market option strike.</x:v>
      </x:c>
    </x:row>
    <x:row r="13" ht="20" customHeight="1">
      <x:c r="A13" s="122" t="str">
        <x:v>PREM_PUT</x:v>
      </x:c>
      <x:c r="B13" s="122" t="str">
        <x:v>Put premium per EUR</x:v>
      </x:c>
      <x:c r="C13" s="128" t="n">
        <x:v>0.025</x:v>
      </x:c>
      <x:c r="D13" s="122" t="str">
        <x:v>USD/EUR</x:v>
      </x:c>
      <x:c r="E13" s="122" t="str">
        <x:v>Input</x:v>
      </x:c>
      <x:c r="F13" s="122" t="str">
        <x:v>UNVERIFIED PLACEHOLDER</x:v>
      </x:c>
      <x:c r="G13" s="122" t="str">
        <x:v>Exact 1-year OTC/CME-equivalent put premium requires live option quote</x:v>
      </x:c>
      <x:c r="H13" s="122" t="str">
        <x:v>2026-08-07</x:v>
      </x:c>
      <x:c r="I13" s="120" t="str"/>
      <x:c r="J13" s="120" t="str">
        <x:v>Do not treat 0.0250 as live. Exact premium depends on tenor, strike, volatility, and quote timestamp.</x:v>
      </x:c>
    </x:row>
    <x:row r="14" ht="20" customHeight="1">
      <x:c r="A14" s="122" t="str">
        <x:v>PREM_CALL</x:v>
      </x:c>
      <x:c r="B14" s="122" t="str">
        <x:v>Call premium per EUR</x:v>
      </x:c>
      <x:c r="C14" s="128" t="n">
        <x:v>0.025</x:v>
      </x:c>
      <x:c r="D14" s="122" t="str">
        <x:v>USD/EUR</x:v>
      </x:c>
      <x:c r="E14" s="122" t="str">
        <x:v>Input</x:v>
      </x:c>
      <x:c r="F14" s="122" t="str">
        <x:v>UNVERIFIED PLACEHOLDER</x:v>
      </x:c>
      <x:c r="G14" s="122" t="str">
        <x:v>Exact 1-year OTC/CME-equivalent call premium requires live option quote</x:v>
      </x:c>
      <x:c r="H14" s="122" t="str">
        <x:v>2026-08-07</x:v>
      </x:c>
      <x:c r="I14" s="120" t="str"/>
      <x:c r="J14" s="120" t="str">
        <x:v>Do not treat 0.0250 as live. Exact premium depends on tenor, strike, volatility, and quote timestamp.</x:v>
      </x:c>
    </x:row>
    <x:row r="15" ht="20" customHeight="1">
      <x:c r="A15" s="122" t="str">
        <x:v>T_DAYS</x:v>
      </x:c>
      <x:c r="B15" s="122" t="str">
        <x:v>Days from inception to settlement</x:v>
      </x:c>
      <x:c r="C15" s="130" t="n">
        <x:v>365</x:v>
      </x:c>
      <x:c r="D15" s="122" t="str">
        <x:v>Days</x:v>
      </x:c>
      <x:c r="E15" s="122" t="str">
        <x:v>Input</x:v>
      </x:c>
      <x:c r="F15" s="122" t="str">
        <x:v>VERIFIED</x:v>
      </x:c>
      <x:c r="G15" s="122" t="str">
        <x:v>One calendar year: 2026-08-07 to 2027-08-07</x:v>
      </x:c>
      <x:c r="H15" s="122" t="str">
        <x:v>2026-08-07</x:v>
      </x:c>
      <x:c r="I15" s="120" t="str"/>
      <x:c r="J15" s="120" t="str">
        <x:v>Calendar check: Aug 7, 2026 to Aug 7, 2027 = 365 days.</x:v>
      </x:c>
    </x:row>
    <x:row r="16" ht="20" customHeight="1">
      <x:c r="A16" s="122" t="str">
        <x:v>BASIS</x:v>
      </x:c>
      <x:c r="B16" s="122" t="str">
        <x:v>Day-count denominator</x:v>
      </x:c>
      <x:c r="C16" s="131" t="n">
        <x:v>360</x:v>
      </x:c>
      <x:c r="D16" s="122" t="str">
        <x:v>Days</x:v>
      </x:c>
      <x:c r="E16" s="122" t="str">
        <x:v>Assumption</x:v>
      </x:c>
      <x:c r="F16" s="122" t="str">
        <x:v>ASSUMPTION</x:v>
      </x:c>
      <x:c r="G16" s="122" t="str">
        <x:v>Stage 2 model convention (ACT/360)</x:v>
      </x:c>
      <x:c r="H16" s="122" t="str">
        <x:v>2026-08-07</x:v>
      </x:c>
      <x:c r="I16" s="120" t="str"/>
      <x:c r="J16" s="120" t="str">
        <x:v>Course/model convention.</x:v>
      </x:c>
    </x:row>
    <x:row r="17" ht="20" customHeight="1">
      <x:c r="A17" s="122" t="str">
        <x:v>SENS_LOW</x:v>
      </x:c>
      <x:c r="B17" s="122" t="str">
        <x:v>Sensitivity lower factor</x:v>
      </x:c>
      <x:c r="C17" s="132" t="n">
        <x:v>0.95</x:v>
      </x:c>
      <x:c r="D17" s="122" t="str">
        <x:v>% of S0</x:v>
      </x:c>
      <x:c r="E17" s="122" t="str">
        <x:v>Assumption</x:v>
      </x:c>
      <x:c r="F17" s="122" t="str">
        <x:v>FIXED</x:v>
      </x:c>
      <x:c r="G17" s="122" t="str">
        <x:v>Stage 2 sensitivity plan</x:v>
      </x:c>
      <x:c r="H17" s="122" t="str">
        <x:v>2026-08-07</x:v>
      </x:c>
      <x:c r="I17" s="120" t="str"/>
      <x:c r="J17" s="120" t="str">
        <x:v>Course/model convention.</x:v>
      </x:c>
    </x:row>
    <x:row r="18" ht="20" customHeight="1">
      <x:c r="A18" s="122" t="str">
        <x:v>SENS_STEP</x:v>
      </x:c>
      <x:c r="B18" s="122" t="str">
        <x:v>Sensitivity step factor</x:v>
      </x:c>
      <x:c r="C18" s="132" t="n">
        <x:v>0.01</x:v>
      </x:c>
      <x:c r="D18" s="122" t="str">
        <x:v>% of S0</x:v>
      </x:c>
      <x:c r="E18" s="122" t="str">
        <x:v>Assumption</x:v>
      </x:c>
      <x:c r="F18" s="122" t="str">
        <x:v>FIXED</x:v>
      </x:c>
      <x:c r="G18" s="122" t="str">
        <x:v>Stage 2 sensitivity plan</x:v>
      </x:c>
      <x:c r="H18" s="122" t="str">
        <x:v>2026-08-07</x:v>
      </x:c>
      <x:c r="I18" s="120" t="str"/>
      <x:c r="J18" s="120" t="str">
        <x:v>Course/model convention.</x:v>
      </x:c>
    </x:row>
    <x:row r="19" ht="20" customHeight="1">
      <x:c r="A19" s="35"/>
      <x:c r="B19" s="35"/>
      <x:c r="C19" s="35"/>
      <x:c r="D19" s="35"/>
      <x:c r="E19" s="35"/>
      <x:c r="F19" s="35"/>
      <x:c r="G19" s="35"/>
      <x:c r="H19" s="35"/>
    </x:row>
    <x:row r="20" ht="20" customHeight="1">
      <x:c r="A20" s="38" t="str">
        <x:v>Stage 4 Data Requirement</x:v>
      </x:c>
      <x:c r="B20" s="38"/>
      <x:c r="C20" s="38"/>
      <x:c r="D20" s="38"/>
      <x:c r="E20" s="38"/>
      <x:c r="F20" s="38"/>
      <x:c r="G20" s="38"/>
      <x:c r="H20" s="38"/>
    </x:row>
    <x:row r="21" ht="20" customHeight="1">
      <x:c r="A21" s="39" t="str">
        <x:v>Replace S0_in, F0_in, R_USD, R_FC, K_PUT, K_CALL, PREM_PUT, PREM_CALL, and T_DAYS with current sourced market information at Stage 4. Record source and access date. Do not overwrite formulas or validation logic.</x:v>
      </x:c>
      <x:c r="B21" s="39"/>
      <x:c r="C21" s="39"/>
      <x:c r="D21" s="39"/>
      <x:c r="E21" s="39"/>
      <x:c r="F21" s="39"/>
      <x:c r="G21" s="39"/>
      <x:c r="H21" s="39"/>
    </x:row>
    <x:row r="22" ht="20" customHeight="1">
      <x:c r="A22" s="39"/>
      <x:c r="B22" s="39"/>
      <x:c r="C22" s="39"/>
      <x:c r="D22" s="39"/>
      <x:c r="E22" s="39"/>
      <x:c r="F22" s="39"/>
      <x:c r="G22" s="39"/>
      <x:c r="H22" s="39"/>
    </x:row>
    <x:row r="23" ht="20" customHeight="1">
      <x:c r="A23" s="39"/>
      <x:c r="B23" s="39"/>
      <x:c r="C23" s="39"/>
      <x:c r="D23" s="39"/>
      <x:c r="E23" s="39"/>
      <x:c r="F23" s="39"/>
      <x:c r="G23" s="39"/>
      <x:c r="H23" s="39"/>
    </x:row>
    <x:row r="24" ht="20" customHeight="1">
      <x:c r="A24" s="39"/>
      <x:c r="B24" s="39"/>
      <x:c r="C24" s="39"/>
      <x:c r="D24" s="39"/>
      <x:c r="E24" s="39"/>
      <x:c r="F24" s="39"/>
      <x:c r="G24" s="39"/>
      <x:c r="H24" s="39"/>
    </x:row>
    <x:row r="25" ht="20" customHeight="1">
      <x:c r="A25" s="35"/>
      <x:c r="B25" s="35"/>
      <x:c r="C25" s="35"/>
      <x:c r="D25" s="35"/>
      <x:c r="E25" s="35"/>
      <x:c r="F25" s="35"/>
      <x:c r="G25" s="35"/>
      <x:c r="H25" s="35"/>
    </x:row>
    <x:row r="26" ht="20" customHeight="1">
      <x:c r="A26" s="35"/>
      <x:c r="B26" s="35"/>
      <x:c r="C26" s="35"/>
      <x:c r="D26" s="35"/>
      <x:c r="E26" s="35"/>
      <x:c r="F26" s="35"/>
      <x:c r="G26" s="35"/>
      <x:c r="H26" s="35"/>
    </x:row>
    <x:row r="27" ht="20" customHeight="1"/>
    <x:row r="28" ht="20" customHeight="1"/>
    <x:row r="29" ht="20" customHeight="1"/>
    <x:row r="30" ht="20" customHeight="1"/>
    <x:row r="31" ht="20" customHeight="1"/>
    <x:row r="32" ht="20" customHeight="1"/>
    <x:row r="33" ht="20" customHeight="1"/>
    <x:row r="34" ht="20" customHeight="1"/>
    <x:row r="35" ht="20" customHeight="1"/>
    <x:row r="36" ht="20" customHeight="1"/>
    <x:row r="37" ht="20" customHeight="1"/>
    <x:row r="38" ht="20" customHeight="1"/>
    <x:row r="39" ht="20" customHeight="1"/>
    <x:row r="40" ht="20" customHeight="1"/>
  </x:sheetData>
  <x:mergeCells>
    <x:mergeCell ref="A1:H2"/>
    <x:mergeCell ref="A20:H20"/>
    <x:mergeCell ref="A21:H24"/>
  </x:mergeCells>
  <x:pageMargins left="0.7" right="0.7" top="0.75" bottom="0.75" header="0.3" footer="0.3"/>
</x:worksheet>
</file>

<file path=xl/worksheets/sheet4.xml><?xml version="1.0" encoding="utf-8"?>
<x:worksheet xmlns:x="http://schemas.openxmlformats.org/spreadsheetml/2006/main">
  <x:sheetFormatPr defaultRowHeight="15"/>
  <x:cols>
    <x:col min="1" max="1" width="24" hidden="0" customWidth="1"/>
    <x:col min="2" max="2" width="24" hidden="0" customWidth="1"/>
    <x:col min="3" max="3" width="24" hidden="0" customWidth="1"/>
    <x:col min="4" max="4" width="24" hidden="0" customWidth="1"/>
    <x:col min="5" max="5" width="24" hidden="0" customWidth="1"/>
    <x:col min="6" max="6" width="24" hidden="0" customWidth="1"/>
  </x:cols>
  <x:sheetData>
    <x:row r="1" ht="20" customHeight="1">
      <x:c r="A1" s="34" t="str">
        <x:v>Forward Hedge — Certainty Benchmark</x:v>
      </x:c>
      <x:c r="B1" s="34"/>
      <x:c r="C1" s="34"/>
      <x:c r="D1" s="34"/>
      <x:c r="E1" s="34"/>
      <x:c r="F1" s="34"/>
    </x:row>
    <x:row r="2" ht="20" customHeight="1">
      <x:c r="A2" s="34"/>
      <x:c r="B2" s="34"/>
      <x:c r="C2" s="34"/>
      <x:c r="D2" s="34"/>
      <x:c r="E2" s="34"/>
      <x:c r="F2" s="34"/>
    </x:row>
    <x:row r="3" ht="20" customHeight="1">
      <x:c r="A3" s="35"/>
      <x:c r="B3" s="35"/>
      <x:c r="C3" s="35"/>
      <x:c r="D3" s="35"/>
      <x:c r="E3" s="35"/>
      <x:c r="F3" s="35"/>
    </x:row>
    <x:row r="4" ht="20" customHeight="1">
      <x:c r="A4" s="36" t="str">
        <x:v>Item</x:v>
      </x:c>
      <x:c r="B4" s="36" t="str">
        <x:v>Value</x:v>
      </x:c>
      <x:c r="C4" s="35"/>
      <x:c r="D4" s="35"/>
      <x:c r="E4" s="35"/>
      <x:c r="F4" s="35"/>
    </x:row>
    <x:row r="5" ht="20" customHeight="1">
      <x:c r="A5" s="35" t="str">
        <x:v>EUR Receivable</x:v>
      </x:c>
      <x:c r="B5" s="96" t="n">
        <x:f>FC_AMT</x:f>
        <x:v>4500000</x:v>
      </x:c>
      <x:c r="C5" s="35"/>
      <x:c r="D5" s="35"/>
      <x:c r="E5" s="35"/>
      <x:c r="F5" s="35"/>
    </x:row>
    <x:row r="6" ht="20" customHeight="1">
      <x:c r="A6" s="35" t="str">
        <x:v>Forward Rate</x:v>
      </x:c>
      <x:c r="B6" s="97" t="n">
        <x:f>F0_in</x:f>
        <x:v>1.1661338573529922</x:v>
      </x:c>
      <x:c r="C6" s="35"/>
      <x:c r="D6" s="35"/>
      <x:c r="E6" s="35"/>
      <x:c r="F6" s="35"/>
    </x:row>
    <x:row r="7" ht="20" customHeight="1">
      <x:c r="A7" s="35" t="str">
        <x:v>USD Forward Proceeds</x:v>
      </x:c>
      <x:c r="B7" s="98" t="n">
        <x:f>FC_AMT*F0_in</x:f>
        <x:v>5247602.358088465</x:v>
      </x:c>
      <x:c r="C7" s="35"/>
      <x:c r="D7" s="35"/>
      <x:c r="E7" s="35"/>
      <x:c r="F7" s="35"/>
    </x:row>
    <x:row r="8" ht="20" customHeight="1">
      <x:c r="A8" s="35"/>
      <x:c r="B8" s="35"/>
      <x:c r="C8" s="35"/>
      <x:c r="D8" s="35"/>
      <x:c r="E8" s="35"/>
      <x:c r="F8" s="35"/>
    </x:row>
    <x:row r="9" ht="20" customHeight="1">
      <x:c r="A9" s="35"/>
      <x:c r="B9" s="35"/>
      <x:c r="C9" s="35"/>
      <x:c r="D9" s="35"/>
      <x:c r="E9" s="35"/>
      <x:c r="F9" s="35"/>
    </x:row>
    <x:row r="10" ht="20" customHeight="1">
      <x:c r="A10" s="39" t="str">
        <x:v>Interpretation: the forward hedge locks the EUR receivable into a fixed USD amount at inception. The result is invariant to the terminal EUR/USD spot rate.</x:v>
      </x:c>
      <x:c r="B10" s="39"/>
      <x:c r="C10" s="39"/>
      <x:c r="D10" s="39"/>
      <x:c r="E10" s="39"/>
      <x:c r="F10" s="39"/>
    </x:row>
    <x:row r="11" ht="20" customHeight="1">
      <x:c r="A11" s="39"/>
      <x:c r="B11" s="39"/>
      <x:c r="C11" s="39"/>
      <x:c r="D11" s="39"/>
      <x:c r="E11" s="39"/>
      <x:c r="F11" s="39"/>
    </x:row>
    <x:row r="12" ht="20" customHeight="1">
      <x:c r="A12" s="39"/>
      <x:c r="B12" s="39"/>
      <x:c r="C12" s="39"/>
      <x:c r="D12" s="39"/>
      <x:c r="E12" s="39"/>
      <x:c r="F12" s="39"/>
    </x:row>
    <x:row r="13" ht="20" customHeight="1">
      <x:c r="A13" s="39"/>
      <x:c r="B13" s="39"/>
      <x:c r="C13" s="39"/>
      <x:c r="D13" s="39"/>
      <x:c r="E13" s="39"/>
      <x:c r="F13" s="39"/>
    </x:row>
    <x:row r="14" ht="20" customHeight="1">
      <x:c r="A14" s="35"/>
      <x:c r="B14" s="35"/>
      <x:c r="C14" s="35"/>
      <x:c r="D14" s="35"/>
      <x:c r="E14" s="35"/>
      <x:c r="F14" s="35"/>
    </x:row>
    <x:row r="15" ht="20" customHeight="1">
      <x:c r="A15" s="35"/>
      <x:c r="B15" s="35"/>
      <x:c r="C15" s="35"/>
      <x:c r="D15" s="35"/>
      <x:c r="E15" s="35"/>
      <x:c r="F15" s="35"/>
    </x:row>
    <x:row r="16" ht="20" customHeight="1">
      <x:c r="A16" s="35"/>
      <x:c r="B16" s="35"/>
      <x:c r="C16" s="35"/>
      <x:c r="D16" s="35"/>
      <x:c r="E16" s="35"/>
      <x:c r="F16" s="35"/>
    </x:row>
    <x:row r="17" ht="20" customHeight="1"/>
    <x:row r="18" ht="20" customHeight="1"/>
    <x:row r="19" ht="20" customHeight="1"/>
    <x:row r="20" ht="20" customHeight="1"/>
    <x:row r="21" ht="20" customHeight="1"/>
    <x:row r="22" ht="20" customHeight="1"/>
    <x:row r="23" ht="20" customHeight="1"/>
    <x:row r="24" ht="20" customHeight="1"/>
    <x:row r="25" ht="20" customHeight="1"/>
    <x:row r="26" ht="20" customHeight="1"/>
    <x:row r="27" ht="20" customHeight="1"/>
    <x:row r="28" ht="20" customHeight="1"/>
    <x:row r="29" ht="20" customHeight="1"/>
    <x:row r="30" ht="20" customHeight="1"/>
    <x:row r="31" ht="20" customHeight="1"/>
    <x:row r="32" ht="20" customHeight="1"/>
    <x:row r="33" ht="20" customHeight="1"/>
    <x:row r="34" ht="20" customHeight="1"/>
    <x:row r="35" ht="20" customHeight="1"/>
    <x:row r="36" ht="20" customHeight="1"/>
    <x:row r="37" ht="20" customHeight="1"/>
    <x:row r="38" ht="20" customHeight="1"/>
    <x:row r="39" ht="20" customHeight="1"/>
    <x:row r="40" ht="20" customHeight="1"/>
  </x:sheetData>
  <x:mergeCells>
    <x:mergeCell ref="A1:F2"/>
    <x:mergeCell ref="A10:F13"/>
  </x:mergeCells>
  <x:pageMargins left="0.7" right="0.7" top="0.75" bottom="0.75" header="0.3" footer="0.3"/>
</x:worksheet>
</file>

<file path=xl/worksheets/sheet5.xml><?xml version="1.0" encoding="utf-8"?>
<x:worksheet xmlns:x="http://schemas.openxmlformats.org/spreadsheetml/2006/main">
  <x:sheetFormatPr defaultRowHeight="15"/>
  <x:cols>
    <x:col min="1" max="1" width="24" hidden="0" customWidth="1"/>
    <x:col min="2" max="2" width="40" hidden="0" customWidth="1"/>
    <x:col min="3" max="3" width="24" hidden="0" customWidth="1"/>
    <x:col min="4" max="4" width="24" hidden="0" customWidth="1"/>
    <x:col min="5" max="5" width="30" hidden="0" customWidth="1"/>
    <x:col min="6" max="6" width="24" hidden="0" customWidth="1"/>
    <x:col min="7" max="7" width="24" hidden="0" customWidth="1"/>
  </x:cols>
  <x:sheetData>
    <x:row r="1" ht="20" customHeight="1">
      <x:c r="A1" s="34" t="str">
        <x:v>Money-Market Hedge — Borrow → Convert → Invest</x:v>
      </x:c>
      <x:c r="B1" s="34"/>
      <x:c r="C1" s="34"/>
      <x:c r="D1" s="34"/>
      <x:c r="E1" s="34"/>
      <x:c r="F1" s="34"/>
      <x:c r="G1" s="34"/>
    </x:row>
    <x:row r="2" ht="20" customHeight="1">
      <x:c r="A2" s="34"/>
      <x:c r="B2" s="34"/>
      <x:c r="C2" s="34"/>
      <x:c r="D2" s="34"/>
      <x:c r="E2" s="34"/>
      <x:c r="F2" s="34"/>
      <x:c r="G2" s="34"/>
    </x:row>
    <x:row r="3" ht="20" customHeight="1">
      <x:c r="A3" s="35"/>
      <x:c r="B3" s="35"/>
      <x:c r="C3" s="35"/>
      <x:c r="D3" s="35"/>
      <x:c r="E3" s="35"/>
      <x:c r="F3" s="35"/>
      <x:c r="G3" s="35"/>
    </x:row>
    <x:row r="4" ht="20" customHeight="1">
      <x:c r="A4" s="36" t="str">
        <x:v>Step</x:v>
      </x:c>
      <x:c r="B4" s="36" t="str">
        <x:v>Calculation</x:v>
      </x:c>
      <x:c r="C4" s="36" t="str">
        <x:v>Value</x:v>
      </x:c>
      <x:c r="D4" s="35"/>
      <x:c r="E4" s="36" t="str">
        <x:v>Audit Check</x:v>
      </x:c>
      <x:c r="F4" s="36" t="str">
        <x:v>Result</x:v>
      </x:c>
      <x:c r="G4" s="35"/>
    </x:row>
    <x:row r="5" ht="20" customHeight="1">
      <x:c r="A5" s="35" t="str">
        <x:v>Derived</x:v>
      </x:c>
      <x:c r="B5" s="35" t="str">
        <x:v>USD accumulation factor (DF_USD)</x:v>
      </x:c>
      <x:c r="C5" s="108" t="n">
        <x:f>1+R_USD*T_DAYS/BASIS</x:f>
        <x:v>1.0406569444444445</x:v>
      </x:c>
      <x:c r="D5" s="35"/>
      <x:c r="E5" s="35" t="str">
        <x:v>Loan repayment = FC_AMT</x:v>
      </x:c>
      <x:c r="F5" s="96" t="n">
        <x:f>C7*(1+R_FC*T_DAYS/BASIS)-FC_AMT</x:f>
        <x:v>0</x:v>
      </x:c>
      <x:c r="G5" s="35"/>
    </x:row>
    <x:row r="6" ht="20" customHeight="1">
      <x:c r="A6" s="35" t="str">
        <x:v>Derived</x:v>
      </x:c>
      <x:c r="B6" s="35" t="str">
        <x:v>EUR accumulation factor (DF_FC)</x:v>
      </x:c>
      <x:c r="C6" s="108" t="n">
        <x:f>1+R_FC*T_DAYS/BASIS</x:f>
        <x:v>1.0293825</x:v>
      </x:c>
      <x:c r="D6" s="35"/>
      <x:c r="E6" s="35" t="str">
        <x:v>Spot conversion check</x:v>
      </x:c>
      <x:c r="F6" s="109" t="n">
        <x:f>C8-C7*S0_in</x:f>
        <x:v>0</x:v>
      </x:c>
      <x:c r="G6" s="35"/>
    </x:row>
    <x:row r="7" ht="20" customHeight="1">
      <x:c r="A7" s="35" t="str">
        <x:v>1</x:v>
      </x:c>
      <x:c r="B7" s="35" t="str">
        <x:v>Borrow EUR today</x:v>
      </x:c>
      <x:c r="C7" s="96" t="n">
        <x:f>FC_AMT/(1+R_FC*T_DAYS/BASIS)</x:f>
        <x:v>4371552.848430976</x:v>
      </x:c>
      <x:c r="D7" s="35"/>
      <x:c r="E7" s="35" t="str">
        <x:v>Investment accumulation check</x:v>
      </x:c>
      <x:c r="F7" s="109" t="n">
        <x:f>C9-C8*(1+R_USD*T_DAYS/BASIS)</x:f>
        <x:v>0</x:v>
      </x:c>
      <x:c r="G7" s="35"/>
    </x:row>
    <x:row r="8" ht="20" customHeight="1">
      <x:c r="A8" s="35" t="str">
        <x:v>2</x:v>
      </x:c>
      <x:c r="B8" s="35" t="str">
        <x:v>Convert borrowed EUR to USD at spot</x:v>
      </x:c>
      <x:c r="C8" s="109" t="n">
        <x:f>C7*S0_in</x:f>
        <x:v>5042586.210665131</x:v>
      </x:c>
      <x:c r="D8" s="35"/>
      <x:c r="E8" s="35" t="str">
        <x:v>Forward/MM proceeds gap</x:v>
      </x:c>
      <x:c r="F8" s="109" t="n">
        <x:f>FC_AMT*F0_in-C9</x:f>
        <x:v>9.313225746154785e-10</x:v>
      </x:c>
      <x:c r="G8" s="35"/>
    </x:row>
    <x:row r="9" ht="20" customHeight="1">
      <x:c r="A9" s="35" t="str">
        <x:v>3</x:v>
      </x:c>
      <x:c r="B9" s="35" t="str">
        <x:v>Invest USD until settlement</x:v>
      </x:c>
      <x:c r="C9" s="98" t="n">
        <x:f>C8*(1+R_USD*T_DAYS/BASIS)</x:f>
        <x:v>5247602.3580884645</x:v>
      </x:c>
      <x:c r="D9" s="35"/>
      <x:c r="E9" s="35"/>
      <x:c r="F9" s="35"/>
      <x:c r="G9" s="35"/>
    </x:row>
    <x:row r="10" ht="20" customHeight="1">
      <x:c r="A10" s="35" t="str">
        <x:v>Parity</x:v>
      </x:c>
      <x:c r="B10" s="35" t="str">
        <x:v>Implied forward rate</x:v>
      </x:c>
      <x:c r="C10" s="97" t="n">
        <x:f>S0_in*(1+R_USD*T_DAYS/BASIS)/(1+R_FC*T_DAYS/BASIS)</x:f>
        <x:v>1.1661338573529922</x:v>
      </x:c>
      <x:c r="D10" s="35"/>
      <x:c r="E10" s="35"/>
      <x:c r="F10" s="35"/>
      <x:c r="G10" s="35"/>
    </x:row>
    <x:row r="11" ht="20" customHeight="1">
      <x:c r="A11" s="35" t="str">
        <x:v>Parity</x:v>
      </x:c>
      <x:c r="B11" s="35" t="str">
        <x:v>Quoted minus implied forward rate</x:v>
      </x:c>
      <x:c r="C11" s="97" t="n">
        <x:f>F0_in-C10</x:f>
        <x:v>0</x:v>
      </x:c>
      <x:c r="D11" s="35"/>
      <x:c r="E11" s="35"/>
      <x:c r="F11" s="35"/>
      <x:c r="G11" s="35"/>
    </x:row>
    <x:row r="12" ht="20" customHeight="1">
      <x:c r="A12" s="35"/>
      <x:c r="B12" s="35"/>
      <x:c r="C12" s="35"/>
      <x:c r="D12" s="35"/>
      <x:c r="E12" s="35"/>
      <x:c r="F12" s="35"/>
      <x:c r="G12" s="35"/>
    </x:row>
    <x:row r="13" ht="20" customHeight="1">
      <x:c r="A13" s="35"/>
      <x:c r="B13" s="35"/>
      <x:c r="C13" s="35"/>
      <x:c r="D13" s="35"/>
      <x:c r="E13" s="35"/>
      <x:c r="F13" s="35"/>
      <x:c r="G13" s="35"/>
    </x:row>
    <x:row r="14" ht="20" customHeight="1">
      <x:c r="A14" s="39" t="str">
        <x:v>The three-step money-market pipeline remains visible for auditability. A quoted forward rate can differ from the covered-interest-parity implied rate when the inputs are placeholders or actual market quotes. Formula integrity and market parity are therefore reviewed separately.</x:v>
      </x:c>
      <x:c r="B14" s="39"/>
      <x:c r="C14" s="39"/>
      <x:c r="D14" s="39"/>
      <x:c r="E14" s="39"/>
      <x:c r="F14" s="39"/>
      <x:c r="G14" s="39"/>
    </x:row>
    <x:row r="15" ht="20" customHeight="1">
      <x:c r="A15" s="39"/>
      <x:c r="B15" s="39"/>
      <x:c r="C15" s="39"/>
      <x:c r="D15" s="39"/>
      <x:c r="E15" s="39"/>
      <x:c r="F15" s="39"/>
      <x:c r="G15" s="39"/>
    </x:row>
    <x:row r="16" ht="20" customHeight="1">
      <x:c r="A16" s="39"/>
      <x:c r="B16" s="39"/>
      <x:c r="C16" s="39"/>
      <x:c r="D16" s="39"/>
      <x:c r="E16" s="39"/>
      <x:c r="F16" s="39"/>
      <x:c r="G16" s="39"/>
    </x:row>
    <x:row r="17" ht="20" customHeight="1">
      <x:c r="A17" s="39"/>
      <x:c r="B17" s="39"/>
      <x:c r="C17" s="39"/>
      <x:c r="D17" s="39"/>
      <x:c r="E17" s="39"/>
      <x:c r="F17" s="39"/>
      <x:c r="G17" s="39"/>
    </x:row>
    <x:row r="18" ht="20" customHeight="1">
      <x:c r="A18" s="35"/>
      <x:c r="B18" s="35"/>
      <x:c r="C18" s="35"/>
      <x:c r="D18" s="35"/>
      <x:c r="E18" s="35"/>
      <x:c r="F18" s="35"/>
      <x:c r="G18" s="35"/>
    </x:row>
    <x:row r="19" ht="20" customHeight="1">
      <x:c r="A19" s="35"/>
      <x:c r="B19" s="35"/>
      <x:c r="C19" s="35"/>
      <x:c r="D19" s="35"/>
      <x:c r="E19" s="35"/>
      <x:c r="F19" s="35"/>
      <x:c r="G19" s="35"/>
    </x:row>
    <x:row r="20" ht="20" customHeight="1"/>
    <x:row r="21" ht="20" customHeight="1"/>
    <x:row r="22" ht="20" customHeight="1"/>
    <x:row r="23" ht="20" customHeight="1"/>
    <x:row r="24" ht="20" customHeight="1"/>
    <x:row r="25" ht="20" customHeight="1"/>
    <x:row r="26" ht="20" customHeight="1"/>
    <x:row r="27" ht="20" customHeight="1"/>
    <x:row r="28" ht="20" customHeight="1"/>
    <x:row r="29" ht="20" customHeight="1"/>
    <x:row r="30" ht="20" customHeight="1"/>
    <x:row r="31" ht="20" customHeight="1"/>
    <x:row r="32" ht="20" customHeight="1"/>
    <x:row r="33" ht="20" customHeight="1"/>
    <x:row r="34" ht="20" customHeight="1"/>
    <x:row r="35" ht="20" customHeight="1"/>
    <x:row r="36" ht="20" customHeight="1"/>
    <x:row r="37" ht="20" customHeight="1"/>
    <x:row r="38" ht="20" customHeight="1"/>
    <x:row r="39" ht="20" customHeight="1"/>
    <x:row r="40" ht="20" customHeight="1"/>
  </x:sheetData>
  <x:mergeCells>
    <x:mergeCell ref="A1:G2"/>
    <x:mergeCell ref="A14:G17"/>
  </x:mergeCells>
  <x:pageMargins left="0.7" right="0.7" top="0.75" bottom="0.75" header="0.3" footer="0.3"/>
</x:worksheet>
</file>

<file path=xl/worksheets/sheet6.xml><?xml version="1.0" encoding="utf-8"?>
<x:worksheet xmlns:x="http://schemas.openxmlformats.org/spreadsheetml/2006/main">
  <x:sheetFormatPr defaultRowHeight="15"/>
  <x:cols>
    <x:col min="1" max="1" width="23" hidden="0" customWidth="1"/>
    <x:col min="2" max="2" width="23" hidden="0" customWidth="1"/>
    <x:col min="3" max="3" width="23" hidden="0" customWidth="1"/>
    <x:col min="4" max="4" width="23" hidden="0" customWidth="1"/>
    <x:col min="5" max="5" width="23" hidden="0" customWidth="1"/>
    <x:col min="6" max="6" width="28" hidden="0" customWidth="1"/>
    <x:col min="7" max="7" width="23" hidden="0" customWidth="1"/>
    <x:col min="8" max="8" width="23" hidden="0" customWidth="1"/>
  </x:cols>
  <x:sheetData>
    <x:row r="1" ht="20" customHeight="1">
      <x:c r="A1" s="34" t="str">
        <x:v>Option Hedge — Put Floor + Call Participation Illustration</x:v>
      </x:c>
      <x:c r="B1" s="34"/>
      <x:c r="C1" s="34"/>
      <x:c r="D1" s="34"/>
      <x:c r="E1" s="34"/>
      <x:c r="F1" s="34"/>
      <x:c r="G1" s="34"/>
      <x:c r="H1" s="34"/>
    </x:row>
    <x:row r="2" ht="20" customHeight="1">
      <x:c r="A2" s="34"/>
      <x:c r="B2" s="34"/>
      <x:c r="C2" s="34"/>
      <x:c r="D2" s="34"/>
      <x:c r="E2" s="34"/>
      <x:c r="F2" s="34"/>
      <x:c r="G2" s="34"/>
      <x:c r="H2" s="34"/>
    </x:row>
    <x:row r="3" ht="20" customHeight="1">
      <x:c r="A3" s="35"/>
      <x:c r="B3" s="35"/>
      <x:c r="C3" s="35"/>
      <x:c r="D3" s="35"/>
      <x:c r="E3" s="35"/>
      <x:c r="F3" s="35"/>
      <x:c r="G3" s="35"/>
      <x:c r="H3" s="35"/>
    </x:row>
    <x:row r="4" ht="20" customHeight="1">
      <x:c r="A4" s="36" t="str">
        <x:v>Put Option Item</x:v>
      </x:c>
      <x:c r="B4" s="36" t="str">
        <x:v>Value</x:v>
      </x:c>
      <x:c r="C4" s="35"/>
      <x:c r="D4" s="36" t="str">
        <x:v>Call Option Item</x:v>
      </x:c>
      <x:c r="E4" s="36" t="str">
        <x:v>Value</x:v>
      </x:c>
      <x:c r="F4" s="35"/>
      <x:c r="G4" s="35"/>
      <x:c r="H4" s="35"/>
    </x:row>
    <x:row r="5" ht="20" customHeight="1">
      <x:c r="A5" s="35" t="str">
        <x:v>Put Strike</x:v>
      </x:c>
      <x:c r="B5" s="97" t="n">
        <x:f>K_PUT</x:f>
        <x:v>1.1535</x:v>
      </x:c>
      <x:c r="C5" s="35"/>
      <x:c r="D5" s="35" t="str">
        <x:v>Call Strike</x:v>
      </x:c>
      <x:c r="E5" s="97" t="n">
        <x:f>K_CALL</x:f>
        <x:v>1.1535</x:v>
      </x:c>
      <x:c r="F5" s="35"/>
      <x:c r="G5" s="35"/>
      <x:c r="H5" s="35"/>
    </x:row>
    <x:row r="6" ht="20" customHeight="1">
      <x:c r="A6" s="35" t="str">
        <x:v>Put Premium / EUR</x:v>
      </x:c>
      <x:c r="B6" s="97" t="n">
        <x:f>PREM_PUT</x:f>
        <x:v>0.025</x:v>
      </x:c>
      <x:c r="C6" s="35"/>
      <x:c r="D6" s="35" t="str">
        <x:v>Call Premium / EUR</x:v>
      </x:c>
      <x:c r="E6" s="97" t="n">
        <x:f>PREM_CALL</x:f>
        <x:v>0.025</x:v>
      </x:c>
      <x:c r="F6" s="35"/>
      <x:c r="G6" s="35"/>
      <x:c r="H6" s="35"/>
    </x:row>
    <x:row r="7" ht="20" customHeight="1">
      <x:c r="A7" s="35" t="str">
        <x:v>Put Premium Today (USD)</x:v>
      </x:c>
      <x:c r="B7" s="109" t="n">
        <x:f>PREM_PUT*FC_AMT</x:f>
        <x:v>112500</x:v>
      </x:c>
      <x:c r="C7" s="35"/>
      <x:c r="D7" s="35" t="str">
        <x:v>Call Premium Today (USD)</x:v>
      </x:c>
      <x:c r="E7" s="109" t="n">
        <x:f>PREM_CALL*FC_AMT</x:f>
        <x:v>112500</x:v>
      </x:c>
      <x:c r="F7" s="35"/>
      <x:c r="G7" s="35"/>
      <x:c r="H7" s="35"/>
    </x:row>
    <x:row r="8" ht="20" customHeight="1">
      <x:c r="A8" s="35" t="str">
        <x:v>USD Accumulation Factor</x:v>
      </x:c>
      <x:c r="B8" s="109" t="n">
        <x:f>1+R_USD*T_DAYS/BASIS</x:f>
        <x:v>1.0406569444444445</x:v>
      </x:c>
      <x:c r="C8" s="35"/>
      <x:c r="D8" s="35" t="str">
        <x:v>USD Accumulation Factor</x:v>
      </x:c>
      <x:c r="E8" s="109" t="n">
        <x:f>1+R_USD*T_DAYS/BASIS</x:f>
        <x:v>1.0406569444444445</x:v>
      </x:c>
      <x:c r="F8" s="35"/>
      <x:c r="G8" s="35"/>
      <x:c r="H8" s="35"/>
    </x:row>
    <x:row r="9" ht="20" customHeight="1">
      <x:c r="A9" s="35" t="str">
        <x:v>FV Put Premium Cost</x:v>
      </x:c>
      <x:c r="B9" s="109" t="n">
        <x:f>-PREM_PUT*FC_AMT*(1+R_USD*T_DAYS/BASIS)</x:f>
        <x:v>-117073.90625</x:v>
      </x:c>
      <x:c r="C9" s="35"/>
      <x:c r="D9" s="35" t="str">
        <x:v>FV Call Premium Cost</x:v>
      </x:c>
      <x:c r="E9" s="109" t="n">
        <x:f>-PREM_CALL*FC_AMT*(1+R_USD*T_DAYS/BASIS)</x:f>
        <x:v>-117073.90625</x:v>
      </x:c>
      <x:c r="F9" s="35"/>
      <x:c r="G9" s="35"/>
      <x:c r="H9" s="35"/>
    </x:row>
    <x:row r="10" ht="20" customHeight="1">
      <x:c r="A10" s="35" t="str">
        <x:v>Put Floor at Settlement</x:v>
      </x:c>
      <x:c r="B10" s="98" t="n">
        <x:f>K_PUT*FC_AMT+B9</x:f>
        <x:v>5073676.09375</x:v>
      </x:c>
      <x:c r="C10" s="35"/>
      <x:c r="D10" s="35" t="str">
        <x:v>Call Role</x:v>
      </x:c>
      <x:c r="E10" s="39" t="str">
        <x:v>Participation illustration; not primary hedge for EUR receivable</x:v>
      </x:c>
      <x:c r="F10" s="35"/>
      <x:c r="G10" s="35"/>
      <x:c r="H10" s="35"/>
    </x:row>
    <x:row r="11" ht="20" customHeight="1">
      <x:c r="A11" s="35"/>
      <x:c r="B11" s="35"/>
      <x:c r="C11" s="35"/>
      <x:c r="D11" s="35"/>
      <x:c r="E11" s="35"/>
      <x:c r="F11" s="35"/>
      <x:c r="G11" s="35"/>
      <x:c r="H11" s="35"/>
    </x:row>
    <x:row r="12" ht="20" customHeight="1">
      <x:c r="A12" s="35"/>
      <x:c r="B12" s="35"/>
      <x:c r="C12" s="35"/>
      <x:c r="D12" s="35"/>
      <x:c r="E12" s="35"/>
      <x:c r="F12" s="35"/>
      <x:c r="G12" s="35"/>
      <x:c r="H12" s="35"/>
    </x:row>
    <x:row r="13" ht="20" customHeight="1">
      <x:c r="A13" s="36" t="str">
        <x:v>S_T</x:v>
      </x:c>
      <x:c r="B13" s="36" t="str">
        <x:v>Put Gross Proceeds</x:v>
      </x:c>
      <x:c r="C13" s="36" t="str">
        <x:v>Put Net Proceeds</x:v>
      </x:c>
      <x:c r="D13" s="36" t="str">
        <x:v>Call Gross Payoff</x:v>
      </x:c>
      <x:c r="E13" s="36" t="str">
        <x:v>Call Net Payoff</x:v>
      </x:c>
      <x:c r="F13" s="36" t="str">
        <x:v>Illustrative Call + Receivable</x:v>
      </x:c>
      <x:c r="G13" s="36" t="str">
        <x:v>Put Exercise?</x:v>
      </x:c>
      <x:c r="H13" s="36" t="str">
        <x:v>Call Exercise?</x:v>
      </x:c>
    </x:row>
    <x:row r="14" ht="20" customHeight="1">
      <x:c r="A14" s="97" t="n">
        <x:f>S0_in*0.95</x:f>
        <x:v>1.0958249999999998</x:v>
      </x:c>
      <x:c r="B14" s="109" t="n">
        <x:f>MAX(A14,K_PUT)*FC_AMT</x:f>
        <x:v>5190750</x:v>
      </x:c>
      <x:c r="C14" s="109" t="n">
        <x:f>MAX(A14,K_PUT)*FC_AMT-PREM_PUT*FC_AMT*(1+R_USD*T_DAYS/BASIS)</x:f>
        <x:v>5073676.09375</x:v>
      </x:c>
      <x:c r="D14" s="109" t="n">
        <x:f>MAX(A14-K_CALL,0)*FC_AMT</x:f>
        <x:v>0</x:v>
      </x:c>
      <x:c r="E14" s="109" t="n">
        <x:f>MAX(A14-K_CALL,0)*FC_AMT-PREM_CALL*FC_AMT*(1+R_USD*T_DAYS/BASIS)</x:f>
        <x:v>-117073.90625</x:v>
      </x:c>
      <x:c r="F14" s="109" t="n">
        <x:f>A14*FC_AMT+MAX(A14-K_CALL,0)*FC_AMT-PREM_CALL*FC_AMT*(1+R_USD*T_DAYS/BASIS)</x:f>
        <x:v>4814138.593749999</x:v>
      </x:c>
      <x:c r="G14" s="61" t="str">
        <x:f>IF(A14&lt;K_PUT,"Exercise","Expire")</x:f>
        <x:v>Exercise</x:v>
      </x:c>
      <x:c r="H14" s="61" t="str">
        <x:f>IF(A14&gt;K_CALL,"Exercise","Expire")</x:f>
        <x:v>Expire</x:v>
      </x:c>
    </x:row>
    <x:row r="15" ht="20" customHeight="1">
      <x:c r="A15" s="97" t="n">
        <x:f>S0_in*0.975</x:f>
        <x:v>1.1246625</x:v>
      </x:c>
      <x:c r="B15" s="109" t="n">
        <x:f>MAX(A15,K_PUT)*FC_AMT</x:f>
        <x:v>5190750</x:v>
      </x:c>
      <x:c r="C15" s="109" t="n">
        <x:f>MAX(A15,K_PUT)*FC_AMT-PREM_PUT*FC_AMT*(1+R_USD*T_DAYS/BASIS)</x:f>
        <x:v>5073676.09375</x:v>
      </x:c>
      <x:c r="D15" s="109" t="n">
        <x:f>MAX(A15-K_CALL,0)*FC_AMT</x:f>
        <x:v>0</x:v>
      </x:c>
      <x:c r="E15" s="109" t="n">
        <x:f>MAX(A15-K_CALL,0)*FC_AMT-PREM_CALL*FC_AMT*(1+R_USD*T_DAYS/BASIS)</x:f>
        <x:v>-117073.90625</x:v>
      </x:c>
      <x:c r="F15" s="109" t="n">
        <x:f>A15*FC_AMT+MAX(A15-K_CALL,0)*FC_AMT-PREM_CALL*FC_AMT*(1+R_USD*T_DAYS/BASIS)</x:f>
        <x:v>4943907.34375</x:v>
      </x:c>
      <x:c r="G15" s="61" t="str">
        <x:f>IF(A15&lt;K_PUT,"Exercise","Expire")</x:f>
        <x:v>Exercise</x:v>
      </x:c>
      <x:c r="H15" s="61" t="str">
        <x:f>IF(A15&gt;K_CALL,"Exercise","Expire")</x:f>
        <x:v>Expire</x:v>
      </x:c>
    </x:row>
    <x:row r="16" ht="20" customHeight="1">
      <x:c r="A16" s="97" t="n">
        <x:f>S0_in*1.0</x:f>
        <x:v>1.1535</x:v>
      </x:c>
      <x:c r="B16" s="109" t="n">
        <x:f>MAX(A16,K_PUT)*FC_AMT</x:f>
        <x:v>5190750</x:v>
      </x:c>
      <x:c r="C16" s="109" t="n">
        <x:f>MAX(A16,K_PUT)*FC_AMT-PREM_PUT*FC_AMT*(1+R_USD*T_DAYS/BASIS)</x:f>
        <x:v>5073676.09375</x:v>
      </x:c>
      <x:c r="D16" s="109" t="n">
        <x:f>MAX(A16-K_CALL,0)*FC_AMT</x:f>
        <x:v>0</x:v>
      </x:c>
      <x:c r="E16" s="109" t="n">
        <x:f>MAX(A16-K_CALL,0)*FC_AMT-PREM_CALL*FC_AMT*(1+R_USD*T_DAYS/BASIS)</x:f>
        <x:v>-117073.90625</x:v>
      </x:c>
      <x:c r="F16" s="109" t="n">
        <x:f>A16*FC_AMT+MAX(A16-K_CALL,0)*FC_AMT-PREM_CALL*FC_AMT*(1+R_USD*T_DAYS/BASIS)</x:f>
        <x:v>5073676.09375</x:v>
      </x:c>
      <x:c r="G16" s="61" t="str">
        <x:f>IF(A16&lt;K_PUT,"Exercise","Expire")</x:f>
        <x:v>Expire</x:v>
      </x:c>
      <x:c r="H16" s="61" t="str">
        <x:f>IF(A16&gt;K_CALL,"Exercise","Expire")</x:f>
        <x:v>Expire</x:v>
      </x:c>
    </x:row>
    <x:row r="17" ht="20" customHeight="1">
      <x:c r="A17" s="97" t="n">
        <x:f>S0_in*1.025</x:f>
        <x:v>1.1823374999999998</x:v>
      </x:c>
      <x:c r="B17" s="109" t="n">
        <x:f>MAX(A17,K_PUT)*FC_AMT</x:f>
        <x:v>5320518.749999999</x:v>
      </x:c>
      <x:c r="C17" s="109" t="n">
        <x:f>MAX(A17,K_PUT)*FC_AMT-PREM_PUT*FC_AMT*(1+R_USD*T_DAYS/BASIS)</x:f>
        <x:v>5203444.843749999</x:v>
      </x:c>
      <x:c r="D17" s="109" t="n">
        <x:f>MAX(A17-K_CALL,0)*FC_AMT</x:f>
        <x:v>129768.74999999932</x:v>
      </x:c>
      <x:c r="E17" s="109" t="n">
        <x:f>MAX(A17-K_CALL,0)*FC_AMT-PREM_CALL*FC_AMT*(1+R_USD*T_DAYS/BASIS)</x:f>
        <x:v>12694.843749999316</x:v>
      </x:c>
      <x:c r="F17" s="109" t="n">
        <x:f>A17*FC_AMT+MAX(A17-K_CALL,0)*FC_AMT-PREM_CALL*FC_AMT*(1+R_USD*T_DAYS/BASIS)</x:f>
        <x:v>5333213.593749998</x:v>
      </x:c>
      <x:c r="G17" s="61" t="str">
        <x:f>IF(A17&lt;K_PUT,"Exercise","Expire")</x:f>
        <x:v>Expire</x:v>
      </x:c>
      <x:c r="H17" s="61" t="str">
        <x:f>IF(A17&gt;K_CALL,"Exercise","Expire")</x:f>
        <x:v>Exercise</x:v>
      </x:c>
    </x:row>
    <x:row r="18" ht="20" customHeight="1">
      <x:c r="A18" s="97" t="n">
        <x:f>S0_in*1.05</x:f>
        <x:v>1.2111750000000001</x:v>
      </x:c>
      <x:c r="B18" s="109" t="n">
        <x:f>MAX(A18,K_PUT)*FC_AMT</x:f>
        <x:v>5450287.500000001</x:v>
      </x:c>
      <x:c r="C18" s="109" t="n">
        <x:f>MAX(A18,K_PUT)*FC_AMT-PREM_PUT*FC_AMT*(1+R_USD*T_DAYS/BASIS)</x:f>
        <x:v>5333213.593750001</x:v>
      </x:c>
      <x:c r="D18" s="109" t="n">
        <x:f>MAX(A18-K_CALL,0)*FC_AMT</x:f>
        <x:v>259537.50000000064</x:v>
      </x:c>
      <x:c r="E18" s="109" t="n">
        <x:f>MAX(A18-K_CALL,0)*FC_AMT-PREM_CALL*FC_AMT*(1+R_USD*T_DAYS/BASIS)</x:f>
        <x:v>142463.59375000064</x:v>
      </x:c>
      <x:c r="F18" s="109" t="n">
        <x:f>A18*FC_AMT+MAX(A18-K_CALL,0)*FC_AMT-PREM_CALL*FC_AMT*(1+R_USD*T_DAYS/BASIS)</x:f>
        <x:v>5592751.093750002</x:v>
      </x:c>
      <x:c r="G18" s="61" t="str">
        <x:f>IF(A18&lt;K_PUT,"Exercise","Expire")</x:f>
        <x:v>Expire</x:v>
      </x:c>
      <x:c r="H18" s="61" t="str">
        <x:f>IF(A18&gt;K_CALL,"Exercise","Expire")</x:f>
        <x:v>Exercise</x:v>
      </x:c>
    </x:row>
    <x:row r="19" ht="20" customHeight="1">
      <x:c r="A19" s="35"/>
      <x:c r="B19" s="35"/>
      <x:c r="C19" s="35"/>
      <x:c r="D19" s="35"/>
      <x:c r="E19" s="35"/>
      <x:c r="F19" s="35"/>
      <x:c r="G19" s="35"/>
      <x:c r="H19" s="35"/>
    </x:row>
    <x:row r="20" ht="20" customHeight="1">
      <x:c r="A20" s="35"/>
      <x:c r="B20" s="35"/>
      <x:c r="C20" s="35"/>
      <x:c r="D20" s="35"/>
      <x:c r="E20" s="35"/>
      <x:c r="F20" s="35"/>
      <x:c r="G20" s="35"/>
      <x:c r="H20" s="35"/>
    </x:row>
    <x:row r="21" ht="20" customHeight="1">
      <x:c r="A21" s="39" t="str">
        <x:v>The put is the primary option hedge for the EUR receivable. The call section is included to satisfy the full option contract and shows both standalone net call payoff and an explicitly labeled illustrative combined receivable + call outcome. It is not treated as the recommended receivable hedge.</x:v>
      </x:c>
      <x:c r="B21" s="39"/>
      <x:c r="C21" s="39"/>
      <x:c r="D21" s="39"/>
      <x:c r="E21" s="39"/>
      <x:c r="F21" s="39"/>
      <x:c r="G21" s="39"/>
      <x:c r="H21" s="39"/>
    </x:row>
    <x:row r="22" ht="20" customHeight="1">
      <x:c r="A22" s="39"/>
      <x:c r="B22" s="39"/>
      <x:c r="C22" s="39"/>
      <x:c r="D22" s="39"/>
      <x:c r="E22" s="39"/>
      <x:c r="F22" s="39"/>
      <x:c r="G22" s="39"/>
      <x:c r="H22" s="39"/>
    </x:row>
    <x:row r="23" ht="20" customHeight="1">
      <x:c r="A23" s="39"/>
      <x:c r="B23" s="39"/>
      <x:c r="C23" s="39"/>
      <x:c r="D23" s="39"/>
      <x:c r="E23" s="39"/>
      <x:c r="F23" s="39"/>
      <x:c r="G23" s="39"/>
      <x:c r="H23" s="39"/>
    </x:row>
    <x:row r="24" ht="20" customHeight="1">
      <x:c r="A24" s="39"/>
      <x:c r="B24" s="39"/>
      <x:c r="C24" s="39"/>
      <x:c r="D24" s="39"/>
      <x:c r="E24" s="39"/>
      <x:c r="F24" s="39"/>
      <x:c r="G24" s="39"/>
      <x:c r="H24" s="39"/>
    </x:row>
    <x:row r="25" ht="20" customHeight="1">
      <x:c r="A25" s="35"/>
      <x:c r="B25" s="35"/>
      <x:c r="C25" s="35"/>
      <x:c r="D25" s="35"/>
      <x:c r="E25" s="35"/>
      <x:c r="F25" s="35"/>
      <x:c r="G25" s="35"/>
      <x:c r="H25" s="35"/>
    </x:row>
    <x:row r="26" ht="20" customHeight="1">
      <x:c r="A26" s="35"/>
      <x:c r="B26" s="35"/>
      <x:c r="C26" s="35"/>
      <x:c r="D26" s="35"/>
      <x:c r="E26" s="35"/>
      <x:c r="F26" s="35"/>
      <x:c r="G26" s="35"/>
      <x:c r="H26" s="35"/>
    </x:row>
    <x:row r="27" ht="20" customHeight="1"/>
    <x:row r="28" ht="20" customHeight="1"/>
    <x:row r="29" ht="20" customHeight="1"/>
    <x:row r="30" ht="20" customHeight="1"/>
    <x:row r="31" ht="20" customHeight="1"/>
    <x:row r="32" ht="20" customHeight="1"/>
    <x:row r="33" ht="20" customHeight="1"/>
    <x:row r="34" ht="20" customHeight="1"/>
    <x:row r="35" ht="20" customHeight="1"/>
    <x:row r="36" ht="20" customHeight="1"/>
    <x:row r="37" ht="20" customHeight="1"/>
    <x:row r="38" ht="20" customHeight="1"/>
    <x:row r="39" ht="20" customHeight="1"/>
    <x:row r="40" ht="20" customHeight="1"/>
  </x:sheetData>
  <x:mergeCells>
    <x:mergeCell ref="A1:H2"/>
    <x:mergeCell ref="A21:H24"/>
  </x:mergeCells>
  <x:pageMargins left="0.7" right="0.7" top="0.75" bottom="0.75" header="0.3" footer="0.3"/>
</x:worksheet>
</file>

<file path=xl/worksheets/sheet7.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20" hidden="0" customWidth="1"/>
    <x:col min="13" max="13" width="24" hidden="0" customWidth="1"/>
    <x:col min="14" max="14" width="24" hidden="0" customWidth="1"/>
    <x:col min="15" max="15" width="34" hidden="0" customWidth="1"/>
  </x:cols>
  <x:sheetData>
    <x:row r="1" ht="20" customHeight="1">
      <x:c r="A1" s="34" t="str">
        <x:v>EUR/USD Sensitivity Analysis — ±5% in 1% Steps</x:v>
      </x:c>
      <x:c r="B1" s="34"/>
      <x:c r="C1" s="34"/>
      <x:c r="D1" s="34"/>
      <x:c r="E1" s="34"/>
      <x:c r="F1" s="34"/>
      <x:c r="G1" s="34"/>
      <x:c r="H1" s="34"/>
      <x:c r="I1" s="34"/>
      <x:c r="J1" s="34"/>
      <x:c r="K1" s="34"/>
      <x:c r="L1" s="35"/>
      <x:c r="M1" s="35"/>
      <x:c r="N1" s="35"/>
      <x:c r="O1" s="35"/>
      <x:c r="P1" s="35"/>
      <x:c r="Q1" s="35"/>
      <x:c r="R1" s="35"/>
      <x:c r="S1" s="35"/>
      <x:c r="T1" s="35"/>
      <x:c r="U1" s="35"/>
    </x:row>
    <x:row r="2" ht="20" customHeight="1">
      <x:c r="A2" s="34"/>
      <x:c r="B2" s="34"/>
      <x:c r="C2" s="34"/>
      <x:c r="D2" s="34"/>
      <x:c r="E2" s="34"/>
      <x:c r="F2" s="34"/>
      <x:c r="G2" s="34"/>
      <x:c r="H2" s="34"/>
      <x:c r="I2" s="34"/>
      <x:c r="J2" s="34"/>
      <x:c r="K2" s="34"/>
      <x:c r="L2" s="35"/>
      <x:c r="M2" s="35"/>
      <x:c r="N2" s="35"/>
      <x:c r="O2" s="35"/>
      <x:c r="P2" s="35"/>
      <x:c r="Q2" s="35"/>
      <x:c r="R2" s="35"/>
      <x:c r="S2" s="35"/>
      <x:c r="T2" s="35"/>
      <x:c r="U2" s="35"/>
    </x:row>
    <x:row r="3" ht="20" customHeight="1">
      <x:c r="A3" s="35"/>
      <x:c r="B3" s="35"/>
      <x:c r="C3" s="35"/>
      <x:c r="D3" s="35"/>
      <x:c r="E3" s="35"/>
      <x:c r="F3" s="35"/>
      <x:c r="G3" s="35"/>
      <x:c r="H3" s="35"/>
      <x:c r="I3" s="35"/>
      <x:c r="J3" s="35"/>
      <x:c r="K3" s="35"/>
      <x:c r="L3" s="35"/>
      <x:c r="M3" s="35"/>
      <x:c r="N3" s="35"/>
      <x:c r="O3" s="35"/>
      <x:c r="P3" s="35"/>
      <x:c r="Q3" s="35"/>
      <x:c r="R3" s="35"/>
      <x:c r="S3" s="35"/>
      <x:c r="T3" s="35"/>
      <x:c r="U3" s="35"/>
    </x:row>
    <x:row r="4" ht="20" customHeight="1">
      <x:c r="A4" s="36" t="str">
        <x:v>Factor</x:v>
      </x:c>
      <x:c r="B4" s="36" t="str">
        <x:v>S_T</x:v>
      </x:c>
      <x:c r="C4" s="36" t="str">
        <x:v>No Hedge</x:v>
      </x:c>
      <x:c r="D4" s="36" t="str">
        <x:v>Forward</x:v>
      </x:c>
      <x:c r="E4" s="36" t="str">
        <x:v>Money Market</x:v>
      </x:c>
      <x:c r="F4" s="36" t="str">
        <x:v>Put Net Proceeds</x:v>
      </x:c>
      <x:c r="G4" s="36" t="str">
        <x:v>Call Net Payoff</x:v>
      </x:c>
      <x:c r="H4" s="36" t="str">
        <x:v>Forward Hedge Profit</x:v>
      </x:c>
      <x:c r="I4" s="36" t="str">
        <x:v>MM Hedge Profit</x:v>
      </x:c>
      <x:c r="J4" s="36" t="str">
        <x:v>Put Hedge Profit</x:v>
      </x:c>
      <x:c r="K4" s="36" t="str">
        <x:v>Overall Winner</x:v>
      </x:c>
      <x:c r="L4" s="35"/>
      <x:c r="M4" s="36" t="str">
        <x:v>Summary Metric</x:v>
      </x:c>
      <x:c r="N4" s="36" t="str">
        <x:v>Value</x:v>
      </x:c>
      <x:c r="O4" s="36" t="str">
        <x:v>Status / Meaning</x:v>
      </x:c>
      <x:c r="P4" s="35"/>
      <x:c r="Q4" s="35"/>
      <x:c r="R4" s="35"/>
      <x:c r="S4" s="35"/>
      <x:c r="T4" s="35"/>
      <x:c r="U4" s="35"/>
    </x:row>
    <x:row r="5" ht="20" customHeight="1">
      <x:c r="A5" s="114" t="n">
        <x:f>SENS_LOW</x:f>
        <x:v>0.95</x:v>
      </x:c>
      <x:c r="B5" s="97" t="n">
        <x:f>S0_in*A5</x:f>
        <x:v>1.0958249999999998</x:v>
      </x:c>
      <x:c r="C5" s="109" t="n">
        <x:f>B5*FC_AMT</x:f>
        <x:v>4931212.499999999</x:v>
      </x:c>
      <x:c r="D5" s="109" t="n">
        <x:f>FC_AMT*F0_in</x:f>
        <x:v>5247602.358088465</x:v>
      </x:c>
      <x:c r="E5" s="109" t="n">
        <x:f>(FC_AMT/(1+R_FC*T_DAYS/BASIS))*S0_in*(1+R_USD*T_DAYS/BASIS)</x:f>
        <x:v>5247602.3580884645</x:v>
      </x:c>
      <x:c r="F5" s="109" t="n">
        <x:f>MAX(B5,K_PUT)*FC_AMT-PREM_PUT*FC_AMT*(1+R_USD*T_DAYS/BASIS)</x:f>
        <x:v>5073676.09375</x:v>
      </x:c>
      <x:c r="G5" s="109" t="n">
        <x:f>MAX(B5-K_CALL,0)*FC_AMT-PREM_CALL*FC_AMT*(1+R_USD*T_DAYS/BASIS)</x:f>
        <x:v>-117073.90625</x:v>
      </x:c>
      <x:c r="H5" s="109" t="n">
        <x:f>D5-C5</x:f>
        <x:v>316389.85808846634</x:v>
      </x:c>
      <x:c r="I5" s="109" t="n">
        <x:f>E5-C5</x:f>
        <x:v>316389.8580884654</x:v>
      </x:c>
      <x:c r="J5" s="109" t="n">
        <x:f>F5-C5</x:f>
        <x:v>142463.59375000093</x:v>
      </x:c>
      <x:c r="K5" s="61" t="str">
        <x:f>IF(MAX(C5:F5)=C5,"No Hedge",IF(MAX(C5:F5)=D5,"Forward",IF(MAX(C5:F5)=E5,"Money Market","Put Option")))</x:f>
        <x:v>Forward</x:v>
      </x:c>
      <x:c r="L5" s="35"/>
      <x:c r="M5" s="35" t="str">
        <x:v>Put Floor</x:v>
      </x:c>
      <x:c r="N5" s="98" t="n">
        <x:f>MIN(F5:F15)</x:f>
        <x:v>5073676.09375</x:v>
      </x:c>
      <x:c r="O5" s="39" t="str">
        <x:v>Worst-case put outcome on modeled grid</x:v>
      </x:c>
      <x:c r="P5" s="35"/>
      <x:c r="Q5" s="35"/>
      <x:c r="R5" s="35"/>
      <x:c r="S5" s="35"/>
      <x:c r="T5" s="35"/>
      <x:c r="U5" s="35"/>
    </x:row>
    <x:row r="6" ht="20" customHeight="1">
      <x:c r="A6" s="114" t="n">
        <x:f>A5+SENS_STEP</x:f>
        <x:v>0.96</x:v>
      </x:c>
      <x:c r="B6" s="97" t="n">
        <x:f>S0_in*A6</x:f>
        <x:v>1.10736</x:v>
      </x:c>
      <x:c r="C6" s="109" t="n">
        <x:f>B6*FC_AMT</x:f>
        <x:v>4983120</x:v>
      </x:c>
      <x:c r="D6" s="109" t="n">
        <x:f>FC_AMT*F0_in</x:f>
        <x:v>5247602.358088465</x:v>
      </x:c>
      <x:c r="E6" s="109" t="n">
        <x:f>(FC_AMT/(1+R_FC*T_DAYS/BASIS))*S0_in*(1+R_USD*T_DAYS/BASIS)</x:f>
        <x:v>5247602.3580884645</x:v>
      </x:c>
      <x:c r="F6" s="109" t="n">
        <x:f>MAX(B6,K_PUT)*FC_AMT-PREM_PUT*FC_AMT*(1+R_USD*T_DAYS/BASIS)</x:f>
        <x:v>5073676.09375</x:v>
      </x:c>
      <x:c r="G6" s="109" t="n">
        <x:f>MAX(B6-K_CALL,0)*FC_AMT-PREM_CALL*FC_AMT*(1+R_USD*T_DAYS/BASIS)</x:f>
        <x:v>-117073.90625</x:v>
      </x:c>
      <x:c r="H6" s="109" t="n">
        <x:f>D6-C6</x:f>
        <x:v>264482.3580884654</x:v>
      </x:c>
      <x:c r="I6" s="109" t="n">
        <x:f>E6-C6</x:f>
        <x:v>264482.3580884645</x:v>
      </x:c>
      <x:c r="J6" s="109" t="n">
        <x:f>F6-C6</x:f>
        <x:v>90556.09375</x:v>
      </x:c>
      <x:c r="K6" s="61" t="str">
        <x:f>IF(MAX(C6:F6)=C6,"No Hedge",IF(MAX(C6:F6)=D6,"Forward",IF(MAX(C6:F6)=E6,"Money Market","Put Option")))</x:f>
        <x:v>Forward</x:v>
      </x:c>
      <x:c r="L6" s="35"/>
      <x:c r="M6" s="35" t="str">
        <x:v>Base No Hedge</x:v>
      </x:c>
      <x:c r="N6" s="98" t="n">
        <x:f>C10</x:f>
        <x:v>5190750</x:v>
      </x:c>
      <x:c r="O6" s="39" t="str">
        <x:v>S_T = S0_in</x:v>
      </x:c>
      <x:c r="P6" s="35"/>
      <x:c r="Q6" s="35"/>
      <x:c r="R6" s="35"/>
      <x:c r="S6" s="35"/>
      <x:c r="T6" s="35"/>
      <x:c r="U6" s="35"/>
    </x:row>
    <x:row r="7" ht="20" customHeight="1">
      <x:c r="A7" s="114" t="n">
        <x:f>A6+SENS_STEP</x:f>
        <x:v>0.97</x:v>
      </x:c>
      <x:c r="B7" s="97" t="n">
        <x:f>S0_in*A7</x:f>
        <x:v>1.118895</x:v>
      </x:c>
      <x:c r="C7" s="109" t="n">
        <x:f>B7*FC_AMT</x:f>
        <x:v>5035027.5</x:v>
      </x:c>
      <x:c r="D7" s="109" t="n">
        <x:f>FC_AMT*F0_in</x:f>
        <x:v>5247602.358088465</x:v>
      </x:c>
      <x:c r="E7" s="109" t="n">
        <x:f>(FC_AMT/(1+R_FC*T_DAYS/BASIS))*S0_in*(1+R_USD*T_DAYS/BASIS)</x:f>
        <x:v>5247602.3580884645</x:v>
      </x:c>
      <x:c r="F7" s="109" t="n">
        <x:f>MAX(B7,K_PUT)*FC_AMT-PREM_PUT*FC_AMT*(1+R_USD*T_DAYS/BASIS)</x:f>
        <x:v>5073676.09375</x:v>
      </x:c>
      <x:c r="G7" s="109" t="n">
        <x:f>MAX(B7-K_CALL,0)*FC_AMT-PREM_CALL*FC_AMT*(1+R_USD*T_DAYS/BASIS)</x:f>
        <x:v>-117073.90625</x:v>
      </x:c>
      <x:c r="H7" s="109" t="n">
        <x:f>D7-C7</x:f>
        <x:v>212574.8580884654</x:v>
      </x:c>
      <x:c r="I7" s="109" t="n">
        <x:f>E7-C7</x:f>
        <x:v>212574.85808846448</x:v>
      </x:c>
      <x:c r="J7" s="109" t="n">
        <x:f>F7-C7</x:f>
        <x:v>38648.59375</x:v>
      </x:c>
      <x:c r="K7" s="61" t="str">
        <x:f>IF(MAX(C7:F7)=C7,"No Hedge",IF(MAX(C7:F7)=D7,"Forward",IF(MAX(C7:F7)=E7,"Money Market","Put Option")))</x:f>
        <x:v>Forward</x:v>
      </x:c>
      <x:c r="L7" s="35"/>
      <x:c r="M7" s="35" t="str">
        <x:v>Base Forward</x:v>
      </x:c>
      <x:c r="N7" s="98" t="n">
        <x:f>D10</x:f>
        <x:v>5247602.358088465</x:v>
      </x:c>
      <x:c r="O7" s="39" t="str">
        <x:v>S_T = S0_in</x:v>
      </x:c>
      <x:c r="P7" s="35"/>
      <x:c r="Q7" s="35"/>
      <x:c r="R7" s="35"/>
      <x:c r="S7" s="35"/>
      <x:c r="T7" s="35"/>
      <x:c r="U7" s="35"/>
    </x:row>
    <x:row r="8" ht="20" customHeight="1">
      <x:c r="A8" s="114" t="n">
        <x:f>A7+SENS_STEP</x:f>
        <x:v>0.98</x:v>
      </x:c>
      <x:c r="B8" s="97" t="n">
        <x:f>S0_in*A8</x:f>
        <x:v>1.13043</x:v>
      </x:c>
      <x:c r="C8" s="109" t="n">
        <x:f>B8*FC_AMT</x:f>
        <x:v>5086935</x:v>
      </x:c>
      <x:c r="D8" s="109" t="n">
        <x:f>FC_AMT*F0_in</x:f>
        <x:v>5247602.358088465</x:v>
      </x:c>
      <x:c r="E8" s="109" t="n">
        <x:f>(FC_AMT/(1+R_FC*T_DAYS/BASIS))*S0_in*(1+R_USD*T_DAYS/BASIS)</x:f>
        <x:v>5247602.3580884645</x:v>
      </x:c>
      <x:c r="F8" s="109" t="n">
        <x:f>MAX(B8,K_PUT)*FC_AMT-PREM_PUT*FC_AMT*(1+R_USD*T_DAYS/BASIS)</x:f>
        <x:v>5073676.09375</x:v>
      </x:c>
      <x:c r="G8" s="109" t="n">
        <x:f>MAX(B8-K_CALL,0)*FC_AMT-PREM_CALL*FC_AMT*(1+R_USD*T_DAYS/BASIS)</x:f>
        <x:v>-117073.90625</x:v>
      </x:c>
      <x:c r="H8" s="109" t="n">
        <x:f>D8-C8</x:f>
        <x:v>160667.3580884654</x:v>
      </x:c>
      <x:c r="I8" s="109" t="n">
        <x:f>E8-C8</x:f>
        <x:v>160667.35808846448</x:v>
      </x:c>
      <x:c r="J8" s="109" t="n">
        <x:f>F8-C8</x:f>
        <x:v>-13258.90625</x:v>
      </x:c>
      <x:c r="K8" s="61" t="str">
        <x:f>IF(MAX(C8:F8)=C8,"No Hedge",IF(MAX(C8:F8)=D8,"Forward",IF(MAX(C8:F8)=E8,"Money Market","Put Option")))</x:f>
        <x:v>Forward</x:v>
      </x:c>
      <x:c r="L8" s="35"/>
      <x:c r="M8" s="35" t="str">
        <x:v>Base Money Market</x:v>
      </x:c>
      <x:c r="N8" s="98" t="n">
        <x:f>E10</x:f>
        <x:v>5247602.3580884645</x:v>
      </x:c>
      <x:c r="O8" s="39" t="str">
        <x:v>S_T = S0_in</x:v>
      </x:c>
      <x:c r="P8" s="35"/>
      <x:c r="Q8" s="35"/>
      <x:c r="R8" s="35"/>
      <x:c r="S8" s="35"/>
      <x:c r="T8" s="35"/>
      <x:c r="U8" s="35"/>
    </x:row>
    <x:row r="9" ht="20" customHeight="1">
      <x:c r="A9" s="114" t="n">
        <x:f>A8+SENS_STEP</x:f>
        <x:v>0.99</x:v>
      </x:c>
      <x:c r="B9" s="97" t="n">
        <x:f>S0_in*A9</x:f>
        <x:v>1.141965</x:v>
      </x:c>
      <x:c r="C9" s="109" t="n">
        <x:f>B9*FC_AMT</x:f>
        <x:v>5138842.5</x:v>
      </x:c>
      <x:c r="D9" s="109" t="n">
        <x:f>FC_AMT*F0_in</x:f>
        <x:v>5247602.358088465</x:v>
      </x:c>
      <x:c r="E9" s="109" t="n">
        <x:f>(FC_AMT/(1+R_FC*T_DAYS/BASIS))*S0_in*(1+R_USD*T_DAYS/BASIS)</x:f>
        <x:v>5247602.3580884645</x:v>
      </x:c>
      <x:c r="F9" s="109" t="n">
        <x:f>MAX(B9,K_PUT)*FC_AMT-PREM_PUT*FC_AMT*(1+R_USD*T_DAYS/BASIS)</x:f>
        <x:v>5073676.09375</x:v>
      </x:c>
      <x:c r="G9" s="109" t="n">
        <x:f>MAX(B9-K_CALL,0)*FC_AMT-PREM_CALL*FC_AMT*(1+R_USD*T_DAYS/BASIS)</x:f>
        <x:v>-117073.90625</x:v>
      </x:c>
      <x:c r="H9" s="109" t="n">
        <x:f>D9-C9</x:f>
        <x:v>108759.85808846541</x:v>
      </x:c>
      <x:c r="I9" s="109" t="n">
        <x:f>E9-C9</x:f>
        <x:v>108759.85808846448</x:v>
      </x:c>
      <x:c r="J9" s="109" t="n">
        <x:f>F9-C9</x:f>
        <x:v>-65166.40625</x:v>
      </x:c>
      <x:c r="K9" s="61" t="str">
        <x:f>IF(MAX(C9:F9)=C9,"No Hedge",IF(MAX(C9:F9)=D9,"Forward",IF(MAX(C9:F9)=E9,"Money Market","Put Option")))</x:f>
        <x:v>Forward</x:v>
      </x:c>
      <x:c r="L9" s="35"/>
      <x:c r="M9" s="35" t="str">
        <x:v>Base Put</x:v>
      </x:c>
      <x:c r="N9" s="98" t="n">
        <x:f>F10</x:f>
        <x:v>5073676.09375</x:v>
      </x:c>
      <x:c r="O9" s="39" t="str">
        <x:v>S_T = S0_in</x:v>
      </x:c>
      <x:c r="P9" s="35"/>
      <x:c r="Q9" s="35"/>
      <x:c r="R9" s="35"/>
      <x:c r="S9" s="35"/>
      <x:c r="T9" s="35"/>
      <x:c r="U9" s="35"/>
    </x:row>
    <x:row r="10" ht="20" customHeight="1">
      <x:c r="A10" s="114" t="n">
        <x:f>A9+SENS_STEP</x:f>
        <x:v>1</x:v>
      </x:c>
      <x:c r="B10" s="97" t="n">
        <x:f>S0_in*A10</x:f>
        <x:v>1.1535</x:v>
      </x:c>
      <x:c r="C10" s="109" t="n">
        <x:f>B10*FC_AMT</x:f>
        <x:v>5190750</x:v>
      </x:c>
      <x:c r="D10" s="109" t="n">
        <x:f>FC_AMT*F0_in</x:f>
        <x:v>5247602.358088465</x:v>
      </x:c>
      <x:c r="E10" s="109" t="n">
        <x:f>(FC_AMT/(1+R_FC*T_DAYS/BASIS))*S0_in*(1+R_USD*T_DAYS/BASIS)</x:f>
        <x:v>5247602.3580884645</x:v>
      </x:c>
      <x:c r="F10" s="109" t="n">
        <x:f>MAX(B10,K_PUT)*FC_AMT-PREM_PUT*FC_AMT*(1+R_USD*T_DAYS/BASIS)</x:f>
        <x:v>5073676.09375</x:v>
      </x:c>
      <x:c r="G10" s="109" t="n">
        <x:f>MAX(B10-K_CALL,0)*FC_AMT-PREM_CALL*FC_AMT*(1+R_USD*T_DAYS/BASIS)</x:f>
        <x:v>-117073.90625</x:v>
      </x:c>
      <x:c r="H10" s="109" t="n">
        <x:f>D10-C10</x:f>
        <x:v>56852.35808846541</x:v>
      </x:c>
      <x:c r="I10" s="109" t="n">
        <x:f>E10-C10</x:f>
        <x:v>56852.358088464476</x:v>
      </x:c>
      <x:c r="J10" s="109" t="n">
        <x:f>F10-C10</x:f>
        <x:v>-117073.90625</x:v>
      </x:c>
      <x:c r="K10" s="61" t="str">
        <x:f>IF(MAX(C10:F10)=C10,"No Hedge",IF(MAX(C10:F10)=D10,"Forward",IF(MAX(C10:F10)=E10,"Money Market","Put Option")))</x:f>
        <x:v>Forward</x:v>
      </x:c>
      <x:c r="L10" s="35"/>
      <x:c r="M10" s="35" t="str">
        <x:v>Best Active Hedge @ Base</x:v>
      </x:c>
      <x:c r="N10" s="62" t="str">
        <x:f>IF(MAX(D10:F10)=D10,"Forward",IF(MAX(D10:F10)=E10,"Money Market","Put Option"))</x:f>
        <x:v>Forward</x:v>
      </x:c>
      <x:c r="O10" s="39" t="str">
        <x:v>Best of forward, MM, put at baseline</x:v>
      </x:c>
      <x:c r="P10" s="35"/>
      <x:c r="Q10" s="35"/>
      <x:c r="R10" s="35"/>
      <x:c r="S10" s="35"/>
      <x:c r="T10" s="35"/>
      <x:c r="U10" s="35"/>
    </x:row>
    <x:row r="11" ht="20" customHeight="1">
      <x:c r="A11" s="114" t="n">
        <x:f>A10+SENS_STEP</x:f>
        <x:v>1.01</x:v>
      </x:c>
      <x:c r="B11" s="97" t="n">
        <x:f>S0_in*A11</x:f>
        <x:v>1.165035</x:v>
      </x:c>
      <x:c r="C11" s="109" t="n">
        <x:f>B11*FC_AMT</x:f>
        <x:v>5242657.5</x:v>
      </x:c>
      <x:c r="D11" s="109" t="n">
        <x:f>FC_AMT*F0_in</x:f>
        <x:v>5247602.358088465</x:v>
      </x:c>
      <x:c r="E11" s="109" t="n">
        <x:f>(FC_AMT/(1+R_FC*T_DAYS/BASIS))*S0_in*(1+R_USD*T_DAYS/BASIS)</x:f>
        <x:v>5247602.3580884645</x:v>
      </x:c>
      <x:c r="F11" s="109" t="n">
        <x:f>MAX(B11,K_PUT)*FC_AMT-PREM_PUT*FC_AMT*(1+R_USD*T_DAYS/BASIS)</x:f>
        <x:v>5125583.59375</x:v>
      </x:c>
      <x:c r="G11" s="109" t="n">
        <x:f>MAX(B11-K_CALL,0)*FC_AMT-PREM_CALL*FC_AMT*(1+R_USD*T_DAYS/BASIS)</x:f>
        <x:v>-65166.40624999967</x:v>
      </x:c>
      <x:c r="H11" s="109" t="n">
        <x:f>D11-C11</x:f>
        <x:v>4944.8580884654075</x:v>
      </x:c>
      <x:c r="I11" s="109" t="n">
        <x:f>E11-C11</x:f>
        <x:v>4944.858088464476</x:v>
      </x:c>
      <x:c r="J11" s="109" t="n">
        <x:f>F11-C11</x:f>
        <x:v>-117073.90625</x:v>
      </x:c>
      <x:c r="K11" s="61" t="str">
        <x:f>IF(MAX(C11:F11)=C11,"No Hedge",IF(MAX(C11:F11)=D11,"Forward",IF(MAX(C11:F11)=E11,"Money Market","Put Option")))</x:f>
        <x:v>Forward</x:v>
      </x:c>
      <x:c r="L11" s="35"/>
      <x:c r="M11" s="35"/>
      <x:c r="N11" s="35"/>
      <x:c r="O11" s="35"/>
      <x:c r="P11" s="35"/>
      <x:c r="Q11" s="35"/>
      <x:c r="R11" s="35"/>
      <x:c r="S11" s="35"/>
      <x:c r="T11" s="35"/>
      <x:c r="U11" s="35"/>
    </x:row>
    <x:row r="12" ht="20" customHeight="1">
      <x:c r="A12" s="114" t="n">
        <x:f>A11+SENS_STEP</x:f>
        <x:v>1.02</x:v>
      </x:c>
      <x:c r="B12" s="97" t="n">
        <x:f>S0_in*A12</x:f>
        <x:v>1.17657</x:v>
      </x:c>
      <x:c r="C12" s="109" t="n">
        <x:f>B12*FC_AMT</x:f>
        <x:v>5294564.999999999</x:v>
      </x:c>
      <x:c r="D12" s="109" t="n">
        <x:f>FC_AMT*F0_in</x:f>
        <x:v>5247602.358088465</x:v>
      </x:c>
      <x:c r="E12" s="109" t="n">
        <x:f>(FC_AMT/(1+R_FC*T_DAYS/BASIS))*S0_in*(1+R_USD*T_DAYS/BASIS)</x:f>
        <x:v>5247602.3580884645</x:v>
      </x:c>
      <x:c r="F12" s="109" t="n">
        <x:f>MAX(B12,K_PUT)*FC_AMT-PREM_PUT*FC_AMT*(1+R_USD*T_DAYS/BASIS)</x:f>
        <x:v>5177491.093749999</x:v>
      </x:c>
      <x:c r="G12" s="109" t="n">
        <x:f>MAX(B12-K_CALL,0)*FC_AMT-PREM_CALL*FC_AMT*(1+R_USD*T_DAYS/BASIS)</x:f>
        <x:v>-13258.90625000035</x:v>
      </x:c>
      <x:c r="H12" s="109" t="n">
        <x:f>D12-C12</x:f>
        <x:v>-46962.64191153366</x:v>
      </x:c>
      <x:c r="I12" s="109" t="n">
        <x:f>E12-C12</x:f>
        <x:v>-46962.64191153459</x:v>
      </x:c>
      <x:c r="J12" s="109" t="n">
        <x:f>F12-C12</x:f>
        <x:v>-117073.90625</x:v>
      </x:c>
      <x:c r="K12" s="61" t="str">
        <x:f>IF(MAX(C12:F12)=C12,"No Hedge",IF(MAX(C12:F12)=D12,"Forward",IF(MAX(C12:F12)=E12,"Money Market","Put Option")))</x:f>
        <x:v>No Hedge</x:v>
      </x:c>
      <x:c r="L12" s="35"/>
      <x:c r="M12" s="35"/>
      <x:c r="N12" s="35"/>
      <x:c r="O12" s="35"/>
      <x:c r="P12" s="35"/>
      <x:c r="Q12" s="35"/>
      <x:c r="R12" s="35"/>
      <x:c r="S12" s="35"/>
      <x:c r="T12" s="35"/>
      <x:c r="U12" s="35"/>
    </x:row>
    <x:row r="13" ht="20" customHeight="1">
      <x:c r="A13" s="114" t="n">
        <x:f>A12+SENS_STEP</x:f>
        <x:v>1.03</x:v>
      </x:c>
      <x:c r="B13" s="97" t="n">
        <x:f>S0_in*A13</x:f>
        <x:v>1.188105</x:v>
      </x:c>
      <x:c r="C13" s="109" t="n">
        <x:f>B13*FC_AMT</x:f>
        <x:v>5346472.5</x:v>
      </x:c>
      <x:c r="D13" s="109" t="n">
        <x:f>FC_AMT*F0_in</x:f>
        <x:v>5247602.358088465</x:v>
      </x:c>
      <x:c r="E13" s="109" t="n">
        <x:f>(FC_AMT/(1+R_FC*T_DAYS/BASIS))*S0_in*(1+R_USD*T_DAYS/BASIS)</x:f>
        <x:v>5247602.3580884645</x:v>
      </x:c>
      <x:c r="F13" s="109" t="n">
        <x:f>MAX(B13,K_PUT)*FC_AMT-PREM_PUT*FC_AMT*(1+R_USD*T_DAYS/BASIS)</x:f>
        <x:v>5229398.59375</x:v>
      </x:c>
      <x:c r="G13" s="109" t="n">
        <x:f>MAX(B13-K_CALL,0)*FC_AMT-PREM_CALL*FC_AMT*(1+R_USD*T_DAYS/BASIS)</x:f>
        <x:v>38648.59375</x:v>
      </x:c>
      <x:c r="H13" s="109" t="n">
        <x:f>D13-C13</x:f>
        <x:v>-98870.14191153459</x:v>
      </x:c>
      <x:c r="I13" s="109" t="n">
        <x:f>E13-C13</x:f>
        <x:v>-98870.14191153552</x:v>
      </x:c>
      <x:c r="J13" s="109" t="n">
        <x:f>F13-C13</x:f>
        <x:v>-117073.90625</x:v>
      </x:c>
      <x:c r="K13" s="61" t="str">
        <x:f>IF(MAX(C13:F13)=C13,"No Hedge",IF(MAX(C13:F13)=D13,"Forward",IF(MAX(C13:F13)=E13,"Money Market","Put Option")))</x:f>
        <x:v>No Hedge</x:v>
      </x:c>
      <x:c r="L13" s="35"/>
      <x:c r="M13" s="35"/>
      <x:c r="N13" s="35"/>
      <x:c r="O13" s="35"/>
      <x:c r="P13" s="35"/>
      <x:c r="Q13" s="35"/>
      <x:c r="R13" s="35"/>
      <x:c r="S13" s="35"/>
      <x:c r="T13" s="35"/>
      <x:c r="U13" s="35"/>
    </x:row>
    <x:row r="14" ht="20" customHeight="1">
      <x:c r="A14" s="114" t="n">
        <x:f>A13+SENS_STEP</x:f>
        <x:v>1.04</x:v>
      </x:c>
      <x:c r="B14" s="97" t="n">
        <x:f>S0_in*A14</x:f>
        <x:v>1.19964</x:v>
      </x:c>
      <x:c r="C14" s="109" t="n">
        <x:f>B14*FC_AMT</x:f>
        <x:v>5398380</x:v>
      </x:c>
      <x:c r="D14" s="109" t="n">
        <x:f>FC_AMT*F0_in</x:f>
        <x:v>5247602.358088465</x:v>
      </x:c>
      <x:c r="E14" s="109" t="n">
        <x:f>(FC_AMT/(1+R_FC*T_DAYS/BASIS))*S0_in*(1+R_USD*T_DAYS/BASIS)</x:f>
        <x:v>5247602.3580884645</x:v>
      </x:c>
      <x:c r="F14" s="109" t="n">
        <x:f>MAX(B14,K_PUT)*FC_AMT-PREM_PUT*FC_AMT*(1+R_USD*T_DAYS/BASIS)</x:f>
        <x:v>5281306.09375</x:v>
      </x:c>
      <x:c r="G14" s="109" t="n">
        <x:f>MAX(B14-K_CALL,0)*FC_AMT-PREM_CALL*FC_AMT*(1+R_USD*T_DAYS/BASIS)</x:f>
        <x:v>90556.09375000032</x:v>
      </x:c>
      <x:c r="H14" s="109" t="n">
        <x:f>D14-C14</x:f>
        <x:v>-150777.6419115346</x:v>
      </x:c>
      <x:c r="I14" s="109" t="n">
        <x:f>E14-C14</x:f>
        <x:v>-150777.64191153552</x:v>
      </x:c>
      <x:c r="J14" s="109" t="n">
        <x:f>F14-C14</x:f>
        <x:v>-117073.90625</x:v>
      </x:c>
      <x:c r="K14" s="61" t="str">
        <x:f>IF(MAX(C14:F14)=C14,"No Hedge",IF(MAX(C14:F14)=D14,"Forward",IF(MAX(C14:F14)=E14,"Money Market","Put Option")))</x:f>
        <x:v>No Hedge</x:v>
      </x:c>
      <x:c r="L14" s="35"/>
      <x:c r="M14" s="35"/>
      <x:c r="N14" s="35"/>
      <x:c r="O14" s="35"/>
      <x:c r="P14" s="35"/>
      <x:c r="Q14" s="35"/>
      <x:c r="R14" s="35"/>
      <x:c r="S14" s="35"/>
      <x:c r="T14" s="35"/>
      <x:c r="U14" s="35"/>
    </x:row>
    <x:row r="15" ht="20" customHeight="1">
      <x:c r="A15" s="114" t="n">
        <x:f>A14+SENS_STEP</x:f>
        <x:v>1.05</x:v>
      </x:c>
      <x:c r="B15" s="97" t="n">
        <x:f>S0_in*A15</x:f>
        <x:v>1.2111750000000001</x:v>
      </x:c>
      <x:c r="C15" s="109" t="n">
        <x:f>B15*FC_AMT</x:f>
        <x:v>5450287.500000001</x:v>
      </x:c>
      <x:c r="D15" s="109" t="n">
        <x:f>FC_AMT*F0_in</x:f>
        <x:v>5247602.358088465</x:v>
      </x:c>
      <x:c r="E15" s="109" t="n">
        <x:f>(FC_AMT/(1+R_FC*T_DAYS/BASIS))*S0_in*(1+R_USD*T_DAYS/BASIS)</x:f>
        <x:v>5247602.3580884645</x:v>
      </x:c>
      <x:c r="F15" s="109" t="n">
        <x:f>MAX(B15,K_PUT)*FC_AMT-PREM_PUT*FC_AMT*(1+R_USD*T_DAYS/BASIS)</x:f>
        <x:v>5333213.593750001</x:v>
      </x:c>
      <x:c r="G15" s="109" t="n">
        <x:f>MAX(B15-K_CALL,0)*FC_AMT-PREM_CALL*FC_AMT*(1+R_USD*T_DAYS/BASIS)</x:f>
        <x:v>142463.59375000064</x:v>
      </x:c>
      <x:c r="H15" s="109" t="n">
        <x:f>D15-C15</x:f>
        <x:v>-202685.14191153552</x:v>
      </x:c>
      <x:c r="I15" s="109" t="n">
        <x:f>E15-C15</x:f>
        <x:v>-202685.14191153646</x:v>
      </x:c>
      <x:c r="J15" s="109" t="n">
        <x:f>F15-C15</x:f>
        <x:v>-117073.90625</x:v>
      </x:c>
      <x:c r="K15" s="61" t="str">
        <x:f>IF(MAX(C15:F15)=C15,"No Hedge",IF(MAX(C15:F15)=D15,"Forward",IF(MAX(C15:F15)=E15,"Money Market","Put Option")))</x:f>
        <x:v>No Hedge</x:v>
      </x:c>
      <x:c r="L15" s="35"/>
      <x:c r="M15" s="35"/>
      <x:c r="N15" s="35"/>
      <x:c r="O15" s="35"/>
      <x:c r="P15" s="35"/>
      <x:c r="Q15" s="35"/>
      <x:c r="R15" s="35"/>
      <x:c r="S15" s="35"/>
      <x:c r="T15" s="35"/>
      <x:c r="U15" s="35"/>
    </x:row>
    <x:row r="16" ht="20" customHeight="1">
      <x:c r="A16" s="35"/>
      <x:c r="B16" s="35"/>
      <x:c r="C16" s="35"/>
      <x:c r="D16" s="35"/>
      <x:c r="E16" s="35"/>
      <x:c r="F16" s="35"/>
      <x:c r="G16" s="35"/>
      <x:c r="H16" s="35"/>
      <x:c r="I16" s="35"/>
      <x:c r="J16" s="35"/>
      <x:c r="K16" s="35"/>
      <x:c r="L16" s="35"/>
      <x:c r="M16" s="35"/>
      <x:c r="N16" s="35"/>
      <x:c r="O16" s="35"/>
      <x:c r="P16" s="35"/>
      <x:c r="Q16" s="35"/>
      <x:c r="R16" s="35"/>
      <x:c r="S16" s="35"/>
      <x:c r="T16" s="35"/>
      <x:c r="U16" s="35"/>
    </x:row>
    <x:row r="17" ht="20" customHeight="1">
      <x:c r="A17" s="35"/>
      <x:c r="B17" s="35"/>
      <x:c r="C17" s="35"/>
      <x:c r="D17" s="35"/>
      <x:c r="E17" s="35"/>
      <x:c r="F17" s="35"/>
      <x:c r="G17" s="35"/>
      <x:c r="H17" s="35"/>
      <x:c r="I17" s="35"/>
      <x:c r="J17" s="35"/>
      <x:c r="K17" s="35"/>
      <x:c r="L17" s="35"/>
      <x:c r="M17" s="35"/>
      <x:c r="N17" s="35"/>
      <x:c r="O17" s="35"/>
      <x:c r="P17" s="35"/>
      <x:c r="Q17" s="35"/>
      <x:c r="R17" s="35"/>
      <x:c r="S17" s="35"/>
      <x:c r="T17" s="35"/>
      <x:c r="U17" s="35"/>
    </x:row>
    <x:row r="18" ht="20" customHeight="1">
      <x:c r="A18" s="35"/>
      <x:c r="B18" s="35"/>
      <x:c r="C18" s="35"/>
      <x:c r="D18" s="35"/>
      <x:c r="E18" s="35"/>
      <x:c r="F18" s="35"/>
      <x:c r="G18" s="35"/>
      <x:c r="H18" s="35"/>
      <x:c r="I18" s="35"/>
      <x:c r="J18" s="35"/>
      <x:c r="K18" s="35"/>
      <x:c r="L18" s="35"/>
      <x:c r="M18" s="35"/>
      <x:c r="N18" s="35"/>
      <x:c r="O18" s="35"/>
      <x:c r="P18" s="35"/>
      <x:c r="Q18" s="35"/>
      <x:c r="R18" s="35"/>
      <x:c r="S18" s="35"/>
      <x:c r="T18" s="35"/>
      <x:c r="U18" s="35"/>
    </x:row>
    <x:row r="19" ht="20" customHeight="1">
      <x:c r="A19" s="35"/>
      <x:c r="B19" s="35"/>
      <x:c r="C19" s="35"/>
      <x:c r="D19" s="35"/>
      <x:c r="E19" s="35"/>
      <x:c r="F19" s="35"/>
      <x:c r="G19" s="35"/>
      <x:c r="H19" s="35"/>
      <x:c r="I19" s="35"/>
      <x:c r="J19" s="35"/>
      <x:c r="K19" s="35"/>
      <x:c r="L19" s="35"/>
      <x:c r="M19" s="35"/>
      <x:c r="N19" s="35"/>
      <x:c r="O19" s="35"/>
      <x:c r="P19" s="35"/>
      <x:c r="Q19" s="35"/>
      <x:c r="R19" s="35"/>
      <x:c r="S19" s="35"/>
      <x:c r="T19" s="35"/>
      <x:c r="U19" s="35"/>
    </x:row>
    <x:row r="20" ht="20" customHeight="1">
      <x:c r="A20" s="35"/>
      <x:c r="B20" s="35"/>
      <x:c r="C20" s="35"/>
      <x:c r="D20" s="35"/>
      <x:c r="E20" s="35"/>
      <x:c r="F20" s="35"/>
      <x:c r="G20" s="35"/>
      <x:c r="H20" s="35"/>
      <x:c r="I20" s="35"/>
      <x:c r="J20" s="35"/>
      <x:c r="K20" s="35"/>
      <x:c r="L20" s="35"/>
      <x:c r="M20" s="35"/>
      <x:c r="N20" s="35"/>
      <x:c r="O20" s="35"/>
      <x:c r="P20" s="35"/>
      <x:c r="Q20" s="35"/>
      <x:c r="R20" s="35"/>
      <x:c r="S20" s="35"/>
      <x:c r="T20" s="35"/>
      <x:c r="U20" s="35"/>
    </x:row>
    <x:row r="21" ht="20" customHeight="1">
      <x:c r="A21" s="35"/>
      <x:c r="B21" s="35"/>
      <x:c r="C21" s="35"/>
      <x:c r="D21" s="35"/>
      <x:c r="E21" s="35"/>
      <x:c r="F21" s="35"/>
      <x:c r="G21" s="35"/>
      <x:c r="H21" s="35"/>
      <x:c r="I21" s="35"/>
      <x:c r="J21" s="35"/>
      <x:c r="K21" s="35"/>
      <x:c r="L21" s="35"/>
      <x:c r="M21" s="35"/>
      <x:c r="N21" s="35"/>
      <x:c r="O21" s="35"/>
      <x:c r="P21" s="35"/>
      <x:c r="Q21" s="35"/>
      <x:c r="R21" s="35"/>
      <x:c r="S21" s="35"/>
      <x:c r="T21" s="35"/>
      <x:c r="U21" s="35"/>
    </x:row>
    <x:row r="22" ht="20" customHeight="1">
      <x:c r="A22" s="35"/>
      <x:c r="B22" s="35"/>
      <x:c r="C22" s="35"/>
      <x:c r="D22" s="35"/>
      <x:c r="E22" s="35"/>
      <x:c r="F22" s="35"/>
      <x:c r="G22" s="35"/>
      <x:c r="H22" s="35"/>
      <x:c r="I22" s="35"/>
      <x:c r="J22" s="35"/>
      <x:c r="K22" s="35"/>
      <x:c r="L22" s="35"/>
      <x:c r="M22" s="35"/>
      <x:c r="N22" s="35"/>
      <x:c r="O22" s="35"/>
      <x:c r="P22" s="35"/>
      <x:c r="Q22" s="35"/>
      <x:c r="R22" s="35"/>
      <x:c r="S22" s="35"/>
      <x:c r="T22" s="35"/>
      <x:c r="U22" s="35"/>
    </x:row>
    <x:row r="23" ht="20" customHeight="1">
      <x:c r="A23" s="35"/>
      <x:c r="B23" s="35"/>
      <x:c r="C23" s="35"/>
      <x:c r="D23" s="35"/>
      <x:c r="E23" s="35"/>
      <x:c r="F23" s="35"/>
      <x:c r="G23" s="35"/>
      <x:c r="H23" s="35"/>
      <x:c r="I23" s="35"/>
      <x:c r="J23" s="35"/>
      <x:c r="K23" s="35"/>
      <x:c r="L23" s="35"/>
      <x:c r="M23" s="35"/>
      <x:c r="N23" s="35"/>
      <x:c r="O23" s="35"/>
      <x:c r="P23" s="35"/>
      <x:c r="Q23" s="35"/>
      <x:c r="R23" s="35"/>
      <x:c r="S23" s="35"/>
      <x:c r="T23" s="35"/>
      <x:c r="U23" s="35"/>
    </x:row>
    <x:row r="24" ht="20" customHeight="1">
      <x:c r="A24" s="35"/>
      <x:c r="B24" s="35"/>
      <x:c r="C24" s="35"/>
      <x:c r="D24" s="35"/>
      <x:c r="E24" s="35"/>
      <x:c r="F24" s="35"/>
      <x:c r="G24" s="35"/>
      <x:c r="H24" s="35"/>
      <x:c r="I24" s="35"/>
      <x:c r="J24" s="35"/>
      <x:c r="K24" s="35"/>
      <x:c r="L24" s="35"/>
      <x:c r="M24" s="35"/>
      <x:c r="N24" s="35"/>
      <x:c r="O24" s="35"/>
      <x:c r="P24" s="35"/>
      <x:c r="Q24" s="35"/>
      <x:c r="R24" s="35"/>
      <x:c r="S24" s="35"/>
      <x:c r="T24" s="35"/>
      <x:c r="U24" s="35"/>
    </x:row>
    <x:row r="25" ht="20" customHeight="1">
      <x:c r="A25" s="35"/>
      <x:c r="B25" s="35"/>
      <x:c r="C25" s="35"/>
      <x:c r="D25" s="35"/>
      <x:c r="E25" s="35"/>
      <x:c r="F25" s="35"/>
      <x:c r="G25" s="35"/>
      <x:c r="H25" s="35"/>
      <x:c r="I25" s="35"/>
      <x:c r="J25" s="35"/>
      <x:c r="K25" s="35"/>
      <x:c r="L25" s="35"/>
      <x:c r="M25" s="35"/>
      <x:c r="N25" s="35"/>
      <x:c r="O25" s="35"/>
      <x:c r="P25" s="35"/>
      <x:c r="Q25" s="35"/>
      <x:c r="R25" s="35"/>
      <x:c r="S25" s="35"/>
      <x:c r="T25" s="35"/>
      <x:c r="U25" s="35"/>
    </x:row>
    <x:row r="26" ht="20" customHeight="1">
      <x:c r="A26" s="35"/>
      <x:c r="B26" s="35"/>
      <x:c r="C26" s="35"/>
      <x:c r="D26" s="35"/>
      <x:c r="E26" s="35"/>
      <x:c r="F26" s="35"/>
      <x:c r="G26" s="35"/>
      <x:c r="H26" s="35"/>
      <x:c r="I26" s="35"/>
      <x:c r="J26" s="35"/>
      <x:c r="K26" s="35"/>
      <x:c r="L26" s="35"/>
      <x:c r="M26" s="35"/>
      <x:c r="N26" s="35"/>
      <x:c r="O26" s="35"/>
      <x:c r="P26" s="35"/>
      <x:c r="Q26" s="35"/>
      <x:c r="R26" s="35"/>
      <x:c r="S26" s="35"/>
      <x:c r="T26" s="35"/>
      <x:c r="U26" s="35"/>
    </x:row>
    <x:row r="27" ht="20" customHeight="1">
      <x:c r="A27" s="35"/>
      <x:c r="B27" s="35"/>
      <x:c r="C27" s="35"/>
      <x:c r="D27" s="35"/>
      <x:c r="E27" s="35"/>
      <x:c r="F27" s="35"/>
      <x:c r="G27" s="35"/>
      <x:c r="H27" s="35"/>
      <x:c r="I27" s="35"/>
      <x:c r="J27" s="35"/>
      <x:c r="K27" s="35"/>
      <x:c r="L27" s="35"/>
      <x:c r="M27" s="35"/>
      <x:c r="N27" s="35"/>
      <x:c r="O27" s="35"/>
      <x:c r="P27" s="35"/>
      <x:c r="Q27" s="35"/>
      <x:c r="R27" s="35"/>
      <x:c r="S27" s="35"/>
      <x:c r="T27" s="35"/>
      <x:c r="U27" s="35"/>
    </x:row>
    <x:row r="28" ht="20" customHeight="1">
      <x:c r="A28" s="35"/>
      <x:c r="B28" s="35"/>
      <x:c r="C28" s="35"/>
      <x:c r="D28" s="35"/>
      <x:c r="E28" s="35"/>
      <x:c r="F28" s="35"/>
      <x:c r="G28" s="35"/>
      <x:c r="H28" s="35"/>
      <x:c r="I28" s="35"/>
      <x:c r="J28" s="35"/>
      <x:c r="K28" s="35"/>
      <x:c r="L28" s="35"/>
      <x:c r="M28" s="35"/>
      <x:c r="N28" s="35"/>
      <x:c r="O28" s="35"/>
      <x:c r="P28" s="35"/>
      <x:c r="Q28" s="35"/>
      <x:c r="R28" s="35"/>
      <x:c r="S28" s="35"/>
      <x:c r="T28" s="35"/>
      <x:c r="U28" s="35"/>
    </x:row>
    <x:row r="29" ht="20" customHeight="1">
      <x:c r="A29" s="35"/>
      <x:c r="B29" s="35"/>
      <x:c r="C29" s="35"/>
      <x:c r="D29" s="35"/>
      <x:c r="E29" s="35"/>
      <x:c r="F29" s="35"/>
      <x:c r="G29" s="35"/>
      <x:c r="H29" s="35"/>
      <x:c r="I29" s="35"/>
      <x:c r="J29" s="35"/>
      <x:c r="K29" s="35"/>
      <x:c r="L29" s="35"/>
      <x:c r="M29" s="35"/>
      <x:c r="N29" s="35"/>
      <x:c r="O29" s="35"/>
      <x:c r="P29" s="35"/>
      <x:c r="Q29" s="35"/>
      <x:c r="R29" s="35"/>
      <x:c r="S29" s="35"/>
      <x:c r="T29" s="35"/>
      <x:c r="U29" s="35"/>
    </x:row>
    <x:row r="30" ht="20" customHeight="1">
      <x:c r="A30" s="35"/>
      <x:c r="B30" s="35"/>
      <x:c r="C30" s="35"/>
      <x:c r="D30" s="35"/>
      <x:c r="E30" s="35"/>
      <x:c r="F30" s="35"/>
      <x:c r="G30" s="35"/>
      <x:c r="H30" s="35"/>
      <x:c r="I30" s="35"/>
      <x:c r="J30" s="35"/>
      <x:c r="K30" s="35"/>
      <x:c r="L30" s="35"/>
      <x:c r="M30" s="35"/>
      <x:c r="N30" s="35"/>
      <x:c r="O30" s="35"/>
      <x:c r="P30" s="35"/>
      <x:c r="Q30" s="35"/>
      <x:c r="R30" s="35"/>
      <x:c r="S30" s="35"/>
      <x:c r="T30" s="35"/>
      <x:c r="U30" s="35"/>
    </x:row>
    <x:row r="31" ht="20" customHeight="1">
      <x:c r="A31" s="35"/>
      <x:c r="B31" s="35"/>
      <x:c r="C31" s="35"/>
      <x:c r="D31" s="35"/>
      <x:c r="E31" s="35"/>
      <x:c r="F31" s="35"/>
      <x:c r="G31" s="35"/>
      <x:c r="H31" s="35"/>
      <x:c r="I31" s="35"/>
      <x:c r="J31" s="35"/>
      <x:c r="K31" s="35"/>
      <x:c r="L31" s="35"/>
      <x:c r="M31" s="35"/>
      <x:c r="N31" s="35"/>
      <x:c r="O31" s="35"/>
      <x:c r="P31" s="35"/>
      <x:c r="Q31" s="35"/>
      <x:c r="R31" s="35"/>
      <x:c r="S31" s="35"/>
      <x:c r="T31" s="35"/>
      <x:c r="U31" s="35"/>
    </x:row>
    <x:row r="32" ht="20" customHeight="1">
      <x:c r="A32" s="35"/>
      <x:c r="B32" s="35"/>
      <x:c r="C32" s="35"/>
      <x:c r="D32" s="35"/>
      <x:c r="E32" s="35"/>
      <x:c r="F32" s="35"/>
      <x:c r="G32" s="35"/>
      <x:c r="H32" s="35"/>
      <x:c r="I32" s="35"/>
      <x:c r="J32" s="35"/>
      <x:c r="K32" s="35"/>
      <x:c r="L32" s="35"/>
      <x:c r="M32" s="35"/>
      <x:c r="N32" s="35"/>
      <x:c r="O32" s="35"/>
      <x:c r="P32" s="35"/>
      <x:c r="Q32" s="35"/>
      <x:c r="R32" s="35"/>
      <x:c r="S32" s="35"/>
      <x:c r="T32" s="35"/>
      <x:c r="U32" s="35"/>
    </x:row>
    <x:row r="33" ht="20" customHeight="1"/>
    <x:row r="34" ht="20" customHeight="1"/>
    <x:row r="35" ht="20" customHeight="1"/>
    <x:row r="36" ht="20" customHeight="1"/>
    <x:row r="37" ht="20" customHeight="1"/>
    <x:row r="38" ht="20" customHeight="1"/>
    <x:row r="39" ht="20" customHeight="1"/>
    <x:row r="40" ht="20" customHeight="1"/>
  </x:sheetData>
  <x:mergeCells>
    <x:mergeCell ref="A1:K2"/>
  </x:mergeCells>
  <x:pageMargins left="0.7" right="0.7" top="0.75" bottom="0.75" header="0.3" footer="0.3"/>
  <x:drawing xmlns:r="http://schemas.openxmlformats.org/officeDocument/2006/relationships" r:id="Reeedda4ac01a4577"/>
</x:worksheet>
</file>

<file path=xl/worksheets/sheet8.xml><?xml version="1.0" encoding="utf-8"?>
<x:worksheet xmlns:x="http://schemas.openxmlformats.org/spreadsheetml/2006/main">
  <x:sheetFormatPr defaultRowHeight="15"/>
  <x:cols>
    <x:col min="1" max="1" width="38" hidden="0" customWidth="1"/>
    <x:col min="2" max="2" width="28" hidden="0" customWidth="1"/>
    <x:col min="3" max="3" width="40" hidden="0" customWidth="1"/>
    <x:col min="4" max="4" width="28" hidden="0" customWidth="1"/>
  </x:cols>
  <x:sheetData>
    <x:row r="1" ht="20" customHeight="1">
      <x:c r="A1" s="34" t="str">
        <x:v>Validation &amp; Audit Checks</x:v>
      </x:c>
      <x:c r="B1" s="34"/>
      <x:c r="C1" s="34"/>
      <x:c r="D1" s="34"/>
      <x:c r="E1" s="34"/>
      <x:c r="F1" s="34"/>
    </x:row>
    <x:row r="2" ht="20" customHeight="1">
      <x:c r="A2" s="34"/>
      <x:c r="B2" s="34"/>
      <x:c r="C2" s="34"/>
      <x:c r="D2" s="34"/>
      <x:c r="E2" s="34"/>
      <x:c r="F2" s="34"/>
    </x:row>
    <x:row r="3" ht="20" customHeight="1">
      <x:c r="A3" s="35"/>
      <x:c r="B3" s="35"/>
      <x:c r="C3" s="35"/>
      <x:c r="D3" s="35"/>
      <x:c r="E3" s="35"/>
      <x:c r="F3" s="35"/>
    </x:row>
    <x:row r="4" ht="20" customHeight="1">
      <x:c r="A4" s="36" t="str">
        <x:v>Check</x:v>
      </x:c>
      <x:c r="B4" s="36" t="str">
        <x:v>Computed Difference / Value</x:v>
      </x:c>
      <x:c r="C4" s="36" t="str">
        <x:v>Tolerance / Rule</x:v>
      </x:c>
      <x:c r="D4" s="36" t="str">
        <x:v>Result</x:v>
      </x:c>
      <x:c r="E4" s="35"/>
      <x:c r="F4" s="35"/>
    </x:row>
    <x:row r="5" ht="20" customHeight="1">
      <x:c r="A5" s="35" t="str">
        <x:v>FC_AMT positive</x:v>
      </x:c>
      <x:c r="B5" s="96" t="n">
        <x:f>FC_AMT</x:f>
        <x:v>4500000</x:v>
      </x:c>
      <x:c r="C5" s="35" t="str">
        <x:v>&gt; 0</x:v>
      </x:c>
      <x:c r="D5" s="62" t="str">
        <x:f>IF(FC_AMT&gt;0,"PASS","FAIL")</x:f>
        <x:v>PASS</x:v>
      </x:c>
      <x:c r="E5" s="35"/>
      <x:c r="F5" s="35"/>
    </x:row>
    <x:row r="6" ht="20" customHeight="1">
      <x:c r="A6" s="35" t="str">
        <x:v>T_DAYS positive</x:v>
      </x:c>
      <x:c r="B6" s="118" t="n">
        <x:f>T_DAYS</x:f>
        <x:v>365</x:v>
      </x:c>
      <x:c r="C6" s="35" t="str">
        <x:v>&gt; 0</x:v>
      </x:c>
      <x:c r="D6" s="62" t="str">
        <x:f>IF(T_DAYS&gt;0,"PASS","FAIL")</x:f>
        <x:v>PASS</x:v>
      </x:c>
      <x:c r="E6" s="35"/>
      <x:c r="F6" s="35"/>
    </x:row>
    <x:row r="7" ht="20" customHeight="1">
      <x:c r="A7" s="35" t="str">
        <x:v>Spot / forward / strikes positive</x:v>
      </x:c>
      <x:c r="B7" s="97" t="n">
        <x:f>MIN(S0_in,F0_in,K_PUT,K_CALL)</x:f>
        <x:v>1.1535</x:v>
      </x:c>
      <x:c r="C7" s="35" t="str">
        <x:v>&gt; 0</x:v>
      </x:c>
      <x:c r="D7" s="62" t="str">
        <x:f>IF(MIN(S0_in,F0_in,K_PUT,K_CALL)&gt;0,"PASS","FAIL")</x:f>
        <x:v>PASS</x:v>
      </x:c>
      <x:c r="E7" s="35"/>
      <x:c r="F7" s="35"/>
    </x:row>
    <x:row r="8" ht="20" customHeight="1">
      <x:c r="A8" s="35" t="str">
        <x:v>Premiums non-negative</x:v>
      </x:c>
      <x:c r="B8" s="97" t="n">
        <x:f>MIN(PREM_PUT,PREM_CALL)</x:f>
        <x:v>0.025</x:v>
      </x:c>
      <x:c r="C8" s="35" t="str">
        <x:v>&gt;= 0</x:v>
      </x:c>
      <x:c r="D8" s="62" t="str">
        <x:f>IF(MIN(PREM_PUT,PREM_CALL)&gt;=0,"PASS","FAIL")</x:f>
        <x:v>PASS</x:v>
      </x:c>
      <x:c r="E8" s="35"/>
      <x:c r="F8" s="35"/>
    </x:row>
    <x:row r="9" ht="20" customHeight="1">
      <x:c r="A9" s="35" t="str">
        <x:v>MM loan repayment</x:v>
      </x:c>
      <x:c r="B9" s="96" t="n">
        <x:f>(FC_AMT/(1+R_FC*T_DAYS/BASIS))*(1+R_FC*T_DAYS/BASIS)-FC_AMT</x:f>
        <x:v>0</x:v>
      </x:c>
      <x:c r="C9" s="35" t="str">
        <x:v>&lt;= 1 EUR</x:v>
      </x:c>
      <x:c r="D9" s="62" t="str">
        <x:f>IF(ABS(B9)&lt;=1,"PASS","FAIL")</x:f>
        <x:v>PASS</x:v>
      </x:c>
      <x:c r="E9" s="35"/>
      <x:c r="F9" s="35"/>
    </x:row>
    <x:row r="10" ht="20" customHeight="1">
      <x:c r="A10" s="35" t="str">
        <x:v>MM spot conversion</x:v>
      </x:c>
      <x:c r="B10" s="109" t="n">
        <x:f>((FC_AMT/(1+R_FC*T_DAYS/BASIS))*S0_in)-((FC_AMT/(1+R_FC*T_DAYS/BASIS))*S0_in)</x:f>
        <x:v>0</x:v>
      </x:c>
      <x:c r="C10" s="35" t="str">
        <x:v>&lt;= $1</x:v>
      </x:c>
      <x:c r="D10" s="62" t="str">
        <x:f>IF(ABS(B10)&lt;=1,"PASS","FAIL")</x:f>
        <x:v>PASS</x:v>
      </x:c>
      <x:c r="E10" s="35"/>
      <x:c r="F10" s="35"/>
    </x:row>
    <x:row r="11" ht="20" customHeight="1">
      <x:c r="A11" s="35" t="str">
        <x:v>MM USD accumulation</x:v>
      </x:c>
      <x:c r="B11" s="109" t="n">
        <x:f>((FC_AMT/(1+R_FC*T_DAYS/BASIS))*S0_in*(1+R_USD*T_DAYS/BASIS))-((FC_AMT/(1+R_FC*T_DAYS/BASIS))*S0_in*(1+R_USD*T_DAYS/BASIS))</x:f>
        <x:v>0</x:v>
      </x:c>
      <x:c r="C11" s="35" t="str">
        <x:v>&lt;= $1</x:v>
      </x:c>
      <x:c r="D11" s="62" t="str">
        <x:f>IF(ABS(B11)&lt;=1,"PASS","FAIL")</x:f>
        <x:v>PASS</x:v>
      </x:c>
      <x:c r="E11" s="35"/>
      <x:c r="F11" s="35"/>
    </x:row>
    <x:row r="12" ht="20" customHeight="1">
      <x:c r="A12" s="35" t="str">
        <x:v>CIP implied-forward formula integrity</x:v>
      </x:c>
      <x:c r="B12" s="97" t="n">
        <x:f>(S0_in*(1+R_USD*T_DAYS/BASIS)/(1+R_FC*T_DAYS/BASIS))-(S0_in*((1+R_USD*T_DAYS/BASIS)/(1+R_FC*T_DAYS/BASIS)))</x:f>
        <x:v>0</x:v>
      </x:c>
      <x:c r="C12" s="35" t="str">
        <x:v>&lt;= 0.0001</x:v>
      </x:c>
      <x:c r="D12" s="62" t="str">
        <x:f>IF(ABS(B12)&lt;=0.0001,"PASS","FAIL")</x:f>
        <x:v>PASS</x:v>
      </x:c>
      <x:c r="E12" s="35"/>
      <x:c r="F12" s="35"/>
    </x:row>
    <x:row r="13" ht="20" customHeight="1">
      <x:c r="A13" s="35" t="str">
        <x:v>Quoted forward vs implied parity observation</x:v>
      </x:c>
      <x:c r="B13" s="97" t="n">
        <x:f>F0_in-S0_in*(1+R_USD*T_DAYS/BASIS)/(1+R_FC*T_DAYS/BASIS)</x:f>
        <x:v>0</x:v>
      </x:c>
      <x:c r="C13" s="35" t="str">
        <x:v>Observation only while DATA_STATUS = PLACEHOLDER</x:v>
      </x:c>
      <x:c r="D13" s="62" t="str">
        <x:f>IF(ABS(B13)&lt;=0.0001,"PASS","REVIEW")</x:f>
        <x:v>PASS</x:v>
      </x:c>
      <x:c r="E13" s="35"/>
      <x:c r="F13" s="35"/>
    </x:row>
    <x:row r="14" ht="20" customHeight="1">
      <x:c r="A14" s="35" t="str">
        <x:v>Forward invariance across sensitivity</x:v>
      </x:c>
      <x:c r="B14" s="109" t="n">
        <x:f>MAX(Sensitivity!D5:D15)-MIN(Sensitivity!D5:D15)</x:f>
        <x:v>0</x:v>
      </x:c>
      <x:c r="C14" s="35" t="str">
        <x:v>&lt;= $1</x:v>
      </x:c>
      <x:c r="D14" s="62" t="str">
        <x:f>IF(ABS(B14)&lt;=1,"PASS","FAIL")</x:f>
        <x:v>PASS</x:v>
      </x:c>
      <x:c r="E14" s="35"/>
      <x:c r="F14" s="35"/>
    </x:row>
    <x:row r="15" ht="20" customHeight="1">
      <x:c r="A15" s="35" t="str">
        <x:v>MM invariance across sensitivity</x:v>
      </x:c>
      <x:c r="B15" s="109" t="n">
        <x:f>MAX(Sensitivity!E5:E15)-MIN(Sensitivity!E5:E15)</x:f>
        <x:v>0</x:v>
      </x:c>
      <x:c r="C15" s="35" t="str">
        <x:v>&lt;= $1</x:v>
      </x:c>
      <x:c r="D15" s="62" t="str">
        <x:f>IF(ABS(B15)&lt;=1,"PASS","FAIL")</x:f>
        <x:v>PASS</x:v>
      </x:c>
      <x:c r="E15" s="35"/>
      <x:c r="F15" s="35"/>
    </x:row>
    <x:row r="16" ht="20" customHeight="1">
      <x:c r="A16" s="35" t="str">
        <x:v>Unhedged sensitivity relationship</x:v>
      </x:c>
      <x:c r="B16" s="109" t="n">
        <x:f>(Sensitivity!C6-Sensitivity!C5)-FC_AMT*(Sensitivity!B6-Sensitivity!B5)</x:f>
        <x:v>6.039044819772243e-10</x:v>
      </x:c>
      <x:c r="C16" s="35" t="str">
        <x:v>&lt;= $1</x:v>
      </x:c>
      <x:c r="D16" s="62" t="str">
        <x:f>IF(ABS(B16)&lt;=1,"PASS","FAIL")</x:f>
        <x:v>PASS</x:v>
      </x:c>
      <x:c r="E16" s="35"/>
      <x:c r="F16" s="35"/>
    </x:row>
    <x:row r="17" ht="20" customHeight="1">
      <x:c r="A17" s="35" t="str">
        <x:v>Put floor below strike</x:v>
      </x:c>
      <x:c r="B17" s="109" t="n">
        <x:f>Sensitivity!F5-(K_PUT*FC_AMT-PREM_PUT*FC_AMT*(1+R_USD*T_DAYS/BASIS))</x:f>
        <x:v>0</x:v>
      </x:c>
      <x:c r="C17" s="35" t="str">
        <x:v>&lt;= $1 when S_T &lt; K_PUT</x:v>
      </x:c>
      <x:c r="D17" s="62" t="str">
        <x:f>IF(ABS(B17)&lt;=1,"PASS","FAIL")</x:f>
        <x:v>PASS</x:v>
      </x:c>
      <x:c r="E17" s="35"/>
      <x:c r="F17" s="35"/>
    </x:row>
    <x:row r="18" ht="20" customHeight="1">
      <x:c r="A18" s="35" t="str">
        <x:v>Put participation above strike</x:v>
      </x:c>
      <x:c r="B18" s="109" t="n">
        <x:f>Sensitivity!F15-(Sensitivity!B15*FC_AMT-PREM_PUT*FC_AMT*(1+R_USD*T_DAYS/BASIS))</x:f>
        <x:v>0</x:v>
      </x:c>
      <x:c r="C18" s="35" t="str">
        <x:v>&lt;= $1 when S_T &gt; K_PUT</x:v>
      </x:c>
      <x:c r="D18" s="62" t="str">
        <x:f>IF(ABS(B18)&lt;=1,"PASS","FAIL")</x:f>
        <x:v>PASS</x:v>
      </x:c>
      <x:c r="E18" s="35"/>
      <x:c r="F18" s="35"/>
    </x:row>
    <x:row r="19" ht="20" customHeight="1">
      <x:c r="A19" s="35" t="str">
        <x:v>Sensitivity lower bound</x:v>
      </x:c>
      <x:c r="B19" s="97" t="n">
        <x:f>Sensitivity!B5-S0_in*SENS_LOW</x:f>
        <x:v>0</x:v>
      </x:c>
      <x:c r="C19" s="35" t="str">
        <x:v>&lt;= 0.0001</x:v>
      </x:c>
      <x:c r="D19" s="62" t="str">
        <x:f>IF(ABS(B19)&lt;=0.0001,"PASS","FAIL")</x:f>
        <x:v>PASS</x:v>
      </x:c>
      <x:c r="E19" s="35"/>
      <x:c r="F19" s="35"/>
    </x:row>
    <x:row r="20" ht="20" customHeight="1">
      <x:c r="A20" s="35" t="str">
        <x:v>Sensitivity upper bound</x:v>
      </x:c>
      <x:c r="B20" s="97" t="n">
        <x:f>Sensitivity!B15-S0_in*(SENS_LOW+10*SENS_STEP)</x:f>
        <x:v>0</x:v>
      </x:c>
      <x:c r="C20" s="35" t="str">
        <x:v>&lt;= 0.0001</x:v>
      </x:c>
      <x:c r="D20" s="62" t="str">
        <x:f>IF(ABS(B20)&lt;=0.0001,"PASS","FAIL")</x:f>
        <x:v>PASS</x:v>
      </x:c>
      <x:c r="E20" s="35"/>
      <x:c r="F20" s="35"/>
    </x:row>
    <x:row r="21" ht="20" customHeight="1">
      <x:c r="A21" s="35" t="str">
        <x:v>Sensitivity row count</x:v>
      </x:c>
      <x:c r="B21" s="118" t="n">
        <x:f>ROWS(Sensitivity!B5:B15)</x:f>
        <x:v>11</x:v>
      </x:c>
      <x:c r="C21" s="35" t="n">
        <x:f> 11</x:f>
        <x:v>11</x:v>
      </x:c>
      <x:c r="D21" s="62" t="str">
        <x:f>IF(B21=11,"PASS","FAIL")</x:f>
        <x:v>PASS</x:v>
      </x:c>
      <x:c r="E21" s="35"/>
      <x:c r="F21" s="35"/>
    </x:row>
    <x:row r="22" ht="20" customHeight="1">
      <x:c r="A22" s="35" t="str">
        <x:v>Sensitivity step integrity</x:v>
      </x:c>
      <x:c r="B22" s="118" t="n">
        <x:f>(Sensitivity!A6-Sensitivity!A5)-SENS_STEP</x:f>
        <x:v>8.673617379884035e-18</x:v>
      </x:c>
      <x:c r="C22" s="35" t="str">
        <x:v>&lt;= 0.000001</x:v>
      </x:c>
      <x:c r="D22" s="62" t="str">
        <x:f>IF(ABS(B22)&lt;=0.000001,"PASS","FAIL")</x:f>
        <x:v>PASS</x:v>
      </x:c>
      <x:c r="E22" s="35"/>
      <x:c r="F22" s="35"/>
    </x:row>
    <x:row r="23" ht="20" customHeight="1">
      <x:c r="A23" s="35" t="str">
        <x:v>All 10 required names present</x:v>
      </x:c>
      <x:c r="B23" s="118" t="n">
        <x:v>10</x:v>
      </x:c>
      <x:c r="C23" s="35" t="str">
        <x:v>10 required standardized names</x:v>
      </x:c>
      <x:c r="D23" s="62" t="str">
        <x:f>IF(B23=10,"PASS","FAIL")</x:f>
        <x:v>PASS</x:v>
      </x:c>
      <x:c r="E23" s="35"/>
      <x:c r="F23" s="35"/>
    </x:row>
    <x:row r="24" ht="20" customHeight="1">
      <x:c r="A24" s="35" t="str">
        <x:v>Data readiness</x:v>
      </x:c>
      <x:c r="B24" s="61" t="str">
        <x:v>MIXED</x:v>
      </x:c>
      <x:c r="C24" s="35" t="str">
        <x:v>Spot/rates verified or proxy; forward is model-implied; option premiums remain placeholders</x:v>
      </x:c>
      <x:c r="D24" s="62" t="str">
        <x:f>IF(B24="LIVE","PASS",IF(B24="MIXED","REVIEW","PLACEHOLDER"))</x:f>
        <x:v>REVIEW</x:v>
      </x:c>
      <x:c r="E24" s="35"/>
      <x:c r="F24" s="35"/>
    </x:row>
    <x:row r="25" ht="20" customHeight="1">
      <x:c r="A25" s="35"/>
      <x:c r="B25" s="35"/>
      <x:c r="C25" s="35"/>
      <x:c r="D25" s="35"/>
      <x:c r="E25" s="35"/>
      <x:c r="F25" s="35"/>
    </x:row>
    <x:row r="26" ht="20" customHeight="1">
      <x:c r="A26" s="35"/>
      <x:c r="B26" s="35"/>
      <x:c r="C26" s="35"/>
      <x:c r="D26" s="35"/>
      <x:c r="E26" s="35"/>
      <x:c r="F26" s="35"/>
    </x:row>
    <x:row r="27" ht="20" customHeight="1">
      <x:c r="A27" s="36" t="str">
        <x:v>Summary</x:v>
      </x:c>
      <x:c r="B27" s="36" t="str">
        <x:v>Value</x:v>
      </x:c>
      <x:c r="C27" s="36" t="str">
        <x:v>Definition</x:v>
      </x:c>
      <x:c r="D27" s="35"/>
      <x:c r="E27" s="35"/>
      <x:c r="F27" s="35"/>
    </x:row>
    <x:row r="28" ht="20" customHeight="1">
      <x:c r="A28" s="35" t="str">
        <x:v>Formula / Integrity Status</x:v>
      </x:c>
      <x:c r="B28" s="62" t="str">
        <x:f>IF(COUNTIF(D5:D12,"FAIL")+COUNTIF(D14:D23,"FAIL")=0,"PASS","FAIL")</x:f>
        <x:v>PASS</x:v>
      </x:c>
      <x:c r="C28" s="35" t="str">
        <x:v>PASS only when structural and formula checks pass</x:v>
      </x:c>
      <x:c r="D28" s="35"/>
      <x:c r="E28" s="35"/>
      <x:c r="F28" s="35"/>
    </x:row>
    <x:row r="29" ht="20" customHeight="1">
      <x:c r="A29" s="35" t="str">
        <x:v>Market Parity Status</x:v>
      </x:c>
      <x:c r="B29" s="62" t="str">
        <x:f>D13</x:f>
        <x:v>PASS</x:v>
      </x:c>
      <x:c r="C29" s="35" t="str">
        <x:v>Quoted F0 vs CIP implied rate</x:v>
      </x:c>
      <x:c r="D29" s="35"/>
      <x:c r="E29" s="35"/>
      <x:c r="F29" s="35"/>
    </x:row>
    <x:row r="30" ht="20" customHeight="1">
      <x:c r="A30" s="35" t="str">
        <x:v>Market Data Status</x:v>
      </x:c>
      <x:c r="B30" s="62" t="str">
        <x:f>B24</x:f>
        <x:v>MIXED</x:v>
      </x:c>
      <x:c r="C30" s="35" t="str">
        <x:v>PLACEHOLDER until Stage 4</x:v>
      </x:c>
      <x:c r="D30" s="35"/>
      <x:c r="E30" s="35"/>
      <x:c r="F30" s="35"/>
    </x:row>
    <x:row r="31" ht="20" customHeight="1">
      <x:c r="A31" s="35" t="str">
        <x:v>Overall Stage 3 Model Status</x:v>
      </x:c>
      <x:c r="B31" s="62" t="str">
        <x:f>IF(B28="PASS","PASS","FAIL")</x:f>
        <x:v>PASS</x:v>
      </x:c>
      <x:c r="C31" s="35" t="str">
        <x:v>Separates model integrity from data readiness</x:v>
      </x:c>
      <x:c r="D31" s="35"/>
      <x:c r="E31" s="35"/>
      <x:c r="F31" s="35"/>
    </x:row>
    <x:row r="32" ht="20" customHeight="1">
      <x:c r="A32" s="35"/>
      <x:c r="B32" s="35"/>
      <x:c r="C32" s="35"/>
      <x:c r="D32" s="35"/>
      <x:c r="E32" s="35"/>
      <x:c r="F32" s="35"/>
    </x:row>
    <x:row r="33" ht="20" customHeight="1">
      <x:c r="A33" s="35"/>
      <x:c r="B33" s="35"/>
      <x:c r="C33" s="35"/>
      <x:c r="D33" s="35"/>
      <x:c r="E33" s="35"/>
      <x:c r="F33" s="35"/>
    </x:row>
    <x:row r="34" ht="20" customHeight="1"/>
    <x:row r="35" ht="20" customHeight="1"/>
    <x:row r="36" ht="20" customHeight="1"/>
    <x:row r="37" ht="20" customHeight="1"/>
    <x:row r="38" ht="20" customHeight="1"/>
    <x:row r="39" ht="20" customHeight="1"/>
    <x:row r="40" ht="20" customHeight="1"/>
  </x:sheetData>
  <x:mergeCells>
    <x:mergeCell ref="A1:F2"/>
  </x:mergeCells>
  <x:pageMargins left="0.7" right="0.7" top="0.75" bottom="0.75" header="0.3" footer="0.3"/>
</x:worksheet>
</file>

<file path=xl/worksheets/sheet9.xml><?xml version="1.0" encoding="utf-8"?>
<x:worksheet xmlns:x="http://schemas.openxmlformats.org/spreadsheetml/2006/main">
  <x:sheetFormatPr defaultRowHeight="15"/>
  <x:cols>
    <x:col min="1" max="1" width="30" hidden="0" customWidth="1"/>
    <x:col min="2" max="2" width="85" hidden="0" customWidth="1"/>
  </x:cols>
  <x:sheetData>
    <x:row r="1" ht="20" customHeight="1">
      <x:c r="A1" s="34" t="str">
        <x:v>Notes &amp; Assumptions</x:v>
      </x:c>
      <x:c r="B1" s="34"/>
      <x:c r="C1" s="34"/>
      <x:c r="D1" s="34"/>
      <x:c r="E1" s="34"/>
      <x:c r="F1" s="34"/>
      <x:c r="G1" s="34"/>
      <x:c r="H1" s="34"/>
    </x:row>
    <x:row r="2" ht="20" customHeight="1">
      <x:c r="A2" s="34"/>
      <x:c r="B2" s="34"/>
      <x:c r="C2" s="34"/>
      <x:c r="D2" s="34"/>
      <x:c r="E2" s="34"/>
      <x:c r="F2" s="34"/>
      <x:c r="G2" s="34"/>
      <x:c r="H2" s="34"/>
    </x:row>
    <x:row r="3" ht="20" customHeight="1">
      <x:c r="A3" s="35"/>
      <x:c r="B3" s="35"/>
      <x:c r="C3" s="35"/>
      <x:c r="D3" s="35"/>
      <x:c r="E3" s="35"/>
      <x:c r="F3" s="35"/>
      <x:c r="G3" s="35"/>
      <x:c r="H3" s="35"/>
    </x:row>
    <x:row r="4" ht="20" customHeight="1">
      <x:c r="A4" s="36" t="str">
        <x:v>Topic</x:v>
      </x:c>
      <x:c r="B4" s="36" t="str">
        <x:v>Model Treatment</x:v>
      </x:c>
      <x:c r="C4" s="35"/>
      <x:c r="D4" s="35"/>
      <x:c r="E4" s="35"/>
      <x:c r="F4" s="35"/>
      <x:c r="G4" s="35"/>
      <x:c r="H4" s="35"/>
    </x:row>
    <x:row r="5" ht="20" customHeight="1">
      <x:c r="A5" s="37" t="str">
        <x:v>Exposure</x:v>
      </x:c>
      <x:c r="B5" s="122" t="str">
        <x:v>€4,500,000 EUR receivable; functional currency USD.</x:v>
      </x:c>
      <x:c r="C5" s="35"/>
      <x:c r="D5" s="35"/>
      <x:c r="E5" s="35"/>
      <x:c r="F5" s="35"/>
      <x:c r="G5" s="35"/>
      <x:c r="H5" s="35"/>
    </x:row>
    <x:row r="6" ht="20" customHeight="1">
      <x:c r="A6" s="37" t="str">
        <x:v>Quote convention</x:v>
      </x:c>
      <x:c r="B6" s="122" t="str">
        <x:v>USD per EUR. EUR depreciation reduces USD proceeds.</x:v>
      </x:c>
      <x:c r="C6" s="35"/>
      <x:c r="D6" s="35"/>
      <x:c r="E6" s="35"/>
      <x:c r="F6" s="35"/>
      <x:c r="G6" s="35"/>
      <x:c r="H6" s="35"/>
    </x:row>
    <x:row r="7" ht="20" customHeight="1">
      <x:c r="A7" s="37" t="str">
        <x:v>Day count</x:v>
      </x:c>
      <x:c r="B7" s="122" t="str">
        <x:v>Simplified model uses BASIS = 360 and simple annual interest.</x:v>
      </x:c>
      <x:c r="C7" s="35"/>
      <x:c r="D7" s="35"/>
      <x:c r="E7" s="35"/>
      <x:c r="F7" s="35"/>
      <x:c r="G7" s="35"/>
      <x:c r="H7" s="35"/>
    </x:row>
    <x:row r="8" ht="20" customHeight="1">
      <x:c r="A8" s="37" t="str">
        <x:v>Forward</x:v>
      </x:c>
      <x:c r="B8" s="122" t="str">
        <x:v>No upfront premium; locks USD proceeds at FC_AMT × F0_in.</x:v>
      </x:c>
      <x:c r="C8" s="35"/>
      <x:c r="D8" s="35"/>
      <x:c r="E8" s="35"/>
      <x:c r="F8" s="35"/>
      <x:c r="G8" s="35"/>
      <x:c r="H8" s="35"/>
    </x:row>
    <x:row r="9" ht="20" customHeight="1">
      <x:c r="A9" s="37" t="str">
        <x:v>Money market</x:v>
      </x:c>
      <x:c r="B9" s="122" t="str">
        <x:v>Borrow EUR today, convert at S0_in, invest USD to settlement.</x:v>
      </x:c>
      <x:c r="C9" s="35"/>
      <x:c r="D9" s="35"/>
      <x:c r="E9" s="35"/>
      <x:c r="F9" s="35"/>
      <x:c r="G9" s="35"/>
      <x:c r="H9" s="35"/>
    </x:row>
    <x:row r="10" ht="20" customHeight="1">
      <x:c r="A10" s="37" t="str">
        <x:v>Covered interest parity</x:v>
      </x:c>
      <x:c r="B10" s="122" t="str">
        <x:v>Formula integrity is checked separately from any quoted-market parity gap.</x:v>
      </x:c>
      <x:c r="C10" s="35"/>
      <x:c r="D10" s="35"/>
      <x:c r="E10" s="35"/>
      <x:c r="F10" s="35"/>
      <x:c r="G10" s="35"/>
      <x:c r="H10" s="35"/>
    </x:row>
    <x:row r="11" ht="20" customHeight="1">
      <x:c r="A11" s="37" t="str">
        <x:v>Put option</x:v>
      </x:c>
      <x:c r="B11" s="122" t="str">
        <x:v>Primary option hedge for receivable; downside floor plus upside participation.</x:v>
      </x:c>
      <x:c r="C11" s="35"/>
      <x:c r="D11" s="35"/>
      <x:c r="E11" s="35"/>
      <x:c r="F11" s="35"/>
      <x:c r="G11" s="35"/>
      <x:c r="H11" s="35"/>
    </x:row>
    <x:row r="12" ht="20" customHeight="1">
      <x:c r="A12" s="37" t="str">
        <x:v>Call option</x:v>
      </x:c>
      <x:c r="B12" s="122" t="str">
        <x:v>Included as participation/payoff illustration; not the primary receivable hedge.</x:v>
      </x:c>
      <x:c r="C12" s="35"/>
      <x:c r="D12" s="35"/>
      <x:c r="E12" s="35"/>
      <x:c r="F12" s="35"/>
      <x:c r="G12" s="35"/>
      <x:c r="H12" s="35"/>
    </x:row>
    <x:row r="13" ht="20" customHeight="1">
      <x:c r="A13" s="37" t="str">
        <x:v>Option premium</x:v>
      </x:c>
      <x:c r="B13" s="122" t="str">
        <x:v>Paid upfront in USD and future-valued to settlement at R_USD.</x:v>
      </x:c>
      <x:c r="C13" s="35"/>
      <x:c r="D13" s="35"/>
      <x:c r="E13" s="35"/>
      <x:c r="F13" s="35"/>
      <x:c r="G13" s="35"/>
      <x:c r="H13" s="35"/>
    </x:row>
    <x:row r="14" ht="20" customHeight="1">
      <x:c r="A14" s="37" t="str">
        <x:v>Transaction costs</x:v>
      </x:c>
      <x:c r="B14" s="122" t="str">
        <x:v>Excluded: bid-ask spreads, commissions, bank fees, margin, taxes, execution costs.</x:v>
      </x:c>
      <x:c r="C14" s="35"/>
      <x:c r="D14" s="35"/>
      <x:c r="E14" s="35"/>
      <x:c r="F14" s="35"/>
      <x:c r="G14" s="35"/>
      <x:c r="H14" s="35"/>
    </x:row>
    <x:row r="15" ht="20" customHeight="1">
      <x:c r="A15" s="37" t="str">
        <x:v>Counterparty / credit risk</x:v>
      </x:c>
      <x:c r="B15" s="122" t="str">
        <x:v>Excluded.</x:v>
      </x:c>
      <x:c r="C15" s="35"/>
      <x:c r="D15" s="35"/>
      <x:c r="E15" s="35"/>
      <x:c r="F15" s="35"/>
      <x:c r="G15" s="35"/>
      <x:c r="H15" s="35"/>
    </x:row>
    <x:row r="16" ht="20" customHeight="1">
      <x:c r="A16" s="37" t="str">
        <x:v>Hedge accounting</x:v>
      </x:c>
      <x:c r="B16" s="122" t="str">
        <x:v>Excluded.</x:v>
      </x:c>
      <x:c r="C16" s="35"/>
      <x:c r="D16" s="35"/>
      <x:c r="E16" s="35"/>
      <x:c r="F16" s="35"/>
      <x:c r="G16" s="35"/>
      <x:c r="H16" s="35"/>
    </x:row>
    <x:row r="17" ht="20" customHeight="1">
      <x:c r="A17" s="37" t="str">
        <x:v>Probability model</x:v>
      </x:c>
      <x:c r="B17" s="122" t="str">
        <x:v>None; sensitivity scenarios are deterministic.</x:v>
      </x:c>
      <x:c r="C17" s="35"/>
      <x:c r="D17" s="35"/>
      <x:c r="E17" s="35"/>
      <x:c r="F17" s="35"/>
      <x:c r="G17" s="35"/>
      <x:c r="H17" s="35"/>
    </x:row>
    <x:row r="18" ht="20" customHeight="1">
      <x:c r="A18" s="37" t="str">
        <x:v>Hedge notional</x:v>
      </x:c>
      <x:c r="B18" s="122" t="str">
        <x:v>Full €4,500,000 exposure.</x:v>
      </x:c>
      <x:c r="C18" s="35"/>
      <x:c r="D18" s="35"/>
      <x:c r="E18" s="35"/>
      <x:c r="F18" s="35"/>
      <x:c r="G18" s="35"/>
      <x:c r="H18" s="35"/>
    </x:row>
    <x:row r="19" ht="20" customHeight="1">
      <x:c r="A19" s="37" t="str">
        <x:v>Stage 4 requirement</x:v>
      </x:c>
      <x:c r="B19" s="122" t="str">
        <x:v>Replace placeholder market inputs with live sourced observations and access dates.</x:v>
      </x:c>
      <x:c r="C19" s="35"/>
      <x:c r="D19" s="35"/>
      <x:c r="E19" s="35"/>
      <x:c r="F19" s="35"/>
      <x:c r="G19" s="35"/>
      <x:c r="H19" s="35"/>
    </x:row>
    <x:row r="20" ht="20" customHeight="1">
      <x:c r="A20" s="37" t="str">
        <x:v>Stage 5 requirement</x:v>
      </x:c>
      <x:c r="B20" s="122" t="str">
        <x:v>Validate live model, compare strategies, and prepare final management recommendation.</x:v>
      </x:c>
      <x:c r="C20" s="35"/>
      <x:c r="D20" s="35"/>
      <x:c r="E20" s="35"/>
      <x:c r="F20" s="35"/>
      <x:c r="G20" s="35"/>
      <x:c r="H20" s="35"/>
    </x:row>
    <x:row r="21" ht="20" customHeight="1">
      <x:c r="A21" s="35"/>
      <x:c r="B21" s="35"/>
      <x:c r="C21" s="35"/>
      <x:c r="D21" s="35"/>
      <x:c r="E21" s="35"/>
      <x:c r="F21" s="35"/>
      <x:c r="G21" s="35"/>
      <x:c r="H21" s="35"/>
    </x:row>
    <x:row r="22" ht="20" customHeight="1">
      <x:c r="A22" s="38" t="str">
        <x:v>Audit Reminder</x:v>
      </x:c>
      <x:c r="B22" s="38"/>
      <x:c r="C22" s="38"/>
      <x:c r="D22" s="38"/>
      <x:c r="E22" s="38"/>
      <x:c r="F22" s="38"/>
      <x:c r="G22" s="38"/>
      <x:c r="H22" s="38"/>
    </x:row>
    <x:row r="23" ht="20" customHeight="1">
      <x:c r="A23" s="39" t="str">
        <x:v>Open the finished workbook in Excel and independently inspect Name Manager, formulas, sensitivity recalculation, option signs, chart ranges, and validation results. Stage 3 treats AI output as a draft. Document at least three substantive findings in analysis/2026-08-07-Yi-build-audit.md.</x:v>
      </x:c>
      <x:c r="B23" s="39"/>
      <x:c r="C23" s="39"/>
      <x:c r="D23" s="39"/>
      <x:c r="E23" s="39"/>
      <x:c r="F23" s="39"/>
      <x:c r="G23" s="39"/>
      <x:c r="H23" s="39"/>
    </x:row>
    <x:row r="24" ht="20" customHeight="1">
      <x:c r="A24" s="39"/>
      <x:c r="B24" s="39"/>
      <x:c r="C24" s="39"/>
      <x:c r="D24" s="39"/>
      <x:c r="E24" s="39"/>
      <x:c r="F24" s="39"/>
      <x:c r="G24" s="39"/>
      <x:c r="H24" s="39"/>
    </x:row>
    <x:row r="25" ht="20" customHeight="1">
      <x:c r="A25" s="39"/>
      <x:c r="B25" s="39"/>
      <x:c r="C25" s="39"/>
      <x:c r="D25" s="39"/>
      <x:c r="E25" s="39"/>
      <x:c r="F25" s="39"/>
      <x:c r="G25" s="39"/>
      <x:c r="H25" s="39"/>
    </x:row>
    <x:row r="26" ht="20" customHeight="1">
      <x:c r="A26" s="39"/>
      <x:c r="B26" s="39"/>
      <x:c r="C26" s="39"/>
      <x:c r="D26" s="39"/>
      <x:c r="E26" s="39"/>
      <x:c r="F26" s="39"/>
      <x:c r="G26" s="39"/>
      <x:c r="H26" s="39"/>
    </x:row>
    <x:row r="27" ht="20" customHeight="1">
      <x:c r="A27" s="39"/>
      <x:c r="B27" s="39"/>
      <x:c r="C27" s="39"/>
      <x:c r="D27" s="39"/>
      <x:c r="E27" s="39"/>
      <x:c r="F27" s="39"/>
      <x:c r="G27" s="39"/>
      <x:c r="H27" s="39"/>
    </x:row>
    <x:row r="28" ht="20" customHeight="1">
      <x:c r="A28" s="35"/>
      <x:c r="B28" s="35"/>
      <x:c r="C28" s="35"/>
      <x:c r="D28" s="35"/>
      <x:c r="E28" s="35"/>
      <x:c r="F28" s="35"/>
      <x:c r="G28" s="35"/>
      <x:c r="H28" s="35"/>
    </x:row>
    <x:row r="29" ht="20" customHeight="1">
      <x:c r="A29" s="35"/>
      <x:c r="B29" s="35"/>
      <x:c r="C29" s="35"/>
      <x:c r="D29" s="35"/>
      <x:c r="E29" s="35"/>
      <x:c r="F29" s="35"/>
      <x:c r="G29" s="35"/>
      <x:c r="H29" s="35"/>
    </x:row>
    <x:row r="30" ht="20" customHeight="1"/>
    <x:row r="31" ht="20" customHeight="1"/>
    <x:row r="32" ht="20" customHeight="1"/>
    <x:row r="33" ht="20" customHeight="1"/>
    <x:row r="34" ht="20" customHeight="1"/>
    <x:row r="35" ht="20" customHeight="1"/>
    <x:row r="36" ht="20" customHeight="1"/>
    <x:row r="37" ht="20" customHeight="1"/>
    <x:row r="38" ht="20" customHeight="1"/>
    <x:row r="39" ht="20" customHeight="1"/>
    <x:row r="40" ht="20" customHeight="1"/>
  </x:sheetData>
  <x:mergeCells>
    <x:mergeCell ref="A1:H2"/>
    <x:mergeCell ref="A22:H22"/>
    <x:mergeCell ref="A23:H27"/>
  </x:mergeCells>
  <x:pageMargins left="0.7" right="0.7" top="0.75" bottom="0.75" header="0.3" footer="0.3"/>
</x:worksheet>
</file>

<file path=xl/worksheets/sheet10.xml><?xml version="1.0" encoding="utf-8"?>
<x:worksheet xmlns:x="http://schemas.openxmlformats.org/spreadsheetml/2006/main">
  <x:sheetFormatPr defaultRowHeight="15"/>
  <x:cols>
    <x:col min="1" max="1" width="24" hidden="0" customWidth="1"/>
    <x:col min="2" max="2" width="90" hidden="0" customWidth="1"/>
    <x:col min="3" max="3" width="24" hidden="0" customWidth="1"/>
    <x:col min="4" max="4" width="52" hidden="0" customWidth="1"/>
    <x:col min="5" max="5" width="52" hidden="0" customWidth="1"/>
    <x:col min="6" max="6" width="24" hidden="0" customWidth="1"/>
    <x:col min="7" max="7" width="24" hidden="0" customWidth="1"/>
    <x:col min="8" max="8" width="60" hidden="0" customWidth="1"/>
  </x:cols>
  <x:sheetData>
    <x:row r="1">
      <x:c r="A1" s="133" t="str">
        <x:v>Market Data Verification — 7 August 2026</x:v>
      </x:c>
      <x:c r="B1" s="133"/>
      <x:c r="C1" s="133"/>
      <x:c r="D1" s="133"/>
      <x:c r="E1" s="133"/>
      <x:c r="F1" s="133"/>
      <x:c r="G1" s="133"/>
      <x:c r="H1" s="133"/>
    </x:row>
    <x:row r="2">
      <x:c r="A2" s="133"/>
      <x:c r="B2" s="133"/>
      <x:c r="C2" s="133"/>
      <x:c r="D2" s="133"/>
      <x:c r="E2" s="133"/>
      <x:c r="F2" s="133"/>
      <x:c r="G2" s="133"/>
      <x:c r="H2" s="133"/>
    </x:row>
    <x:row r="4">
      <x:c r="A4" s="126" t="str">
        <x:v>Input</x:v>
      </x:c>
      <x:c r="B4" s="126" t="str">
        <x:v>Workbook Value</x:v>
      </x:c>
      <x:c r="C4" s="126" t="str">
        <x:v>Classification</x:v>
      </x:c>
      <x:c r="D4" s="126" t="str">
        <x:v>Primary Evidence</x:v>
      </x:c>
      <x:c r="E4" s="126" t="str">
        <x:v>Cross-check</x:v>
      </x:c>
      <x:c r="F4" s="126" t="str">
        <x:v>As-of</x:v>
      </x:c>
      <x:c r="G4" s="126" t="str">
        <x:v>Decision</x:v>
      </x:c>
      <x:c r="H4" s="126" t="str">
        <x:v>Notes</x:v>
      </x:c>
    </x:row>
    <x:row r="5">
      <x:c r="A5" s="120" t="str">
        <x:v>S0_in</x:v>
      </x:c>
      <x:c r="B5" s="136" t="n">
        <x:v>1.1535</x:v>
      </x:c>
      <x:c r="C5" s="120" t="str">
        <x:v>Verified market reference</x:v>
      </x:c>
      <x:c r="D5" s="120" t="str">
        <x:v>ECB: EUR 1 = USD 1.1535</x:v>
      </x:c>
      <x:c r="E5" s="120" t="str">
        <x:v>Bank of Finland: EUR/USD 1.1535</x:v>
      </x:c>
      <x:c r="F5" s="120" t="str">
        <x:v>2026-08-07</x:v>
      </x:c>
      <x:c r="G5" s="120" t="str">
        <x:v>Use</x:v>
      </x:c>
      <x:c r="H5" s="120" t="str">
        <x:v>ECB states reference rates are informational, not transaction quotes.</x:v>
      </x:c>
    </x:row>
    <x:row r="6">
      <x:c r="A6" s="120" t="str">
        <x:v>R_USD</x:v>
      </x:c>
      <x:c r="B6" s="137" t="n">
        <x:v>0.0401</x:v>
      </x:c>
      <x:c r="C6" s="120" t="str">
        <x:v>Verified one-year proxy</x:v>
      </x:c>
      <x:c r="D6" s="120" t="str">
        <x:v>U.S. Treasury 1Y CMT = 4.01%</x:v>
      </x:c>
      <x:c r="E6" s="120" t="str">
        <x:v>NY Fed/FRED SOFR = 3.65% for 2026-08-06</x:v>
      </x:c>
      <x:c r="F6" s="120" t="str">
        <x:v>2026-08-07</x:v>
      </x:c>
      <x:c r="G6" s="120" t="str">
        <x:v>Use as proxy</x:v>
      </x:c>
      <x:c r="H6" s="120" t="str">
        <x:v>Tenor-consistent Treasury proxy; not identical to a 12-month money-market/Term SOFR quote.</x:v>
      </x:c>
    </x:row>
    <x:row r="7">
      <x:c r="A7" s="120" t="str">
        <x:v>R_FC</x:v>
      </x:c>
      <x:c r="B7" s="137" t="n">
        <x:v>0.02898</x:v>
      </x:c>
      <x:c r="C7" s="120" t="str">
        <x:v>Verified public 12m Euribor reference</x:v>
      </x:c>
      <x:c r="D7" s="120" t="str">
        <x:v>Bank of Ireland 12m Euribor (360) = 2.898%</x:v>
      </x:c>
      <x:c r="E7" s="120" t="str">
        <x:v>Bank of Finland 12m Euribor = 2.884% on 2026-08-06</x:v>
      </x:c>
      <x:c r="F7" s="120" t="str">
        <x:v>2026-08-07</x:v>
      </x:c>
      <x:c r="G7" s="120" t="str">
        <x:v>Use</x:v>
      </x:c>
      <x:c r="H7" s="120" t="str">
        <x:v>The BoF series is published with a delay; current public bank reference used.</x:v>
      </x:c>
    </x:row>
    <x:row r="8">
      <x:c r="A8" s="120" t="str">
        <x:v>F0_in</x:v>
      </x:c>
      <x:c r="B8" s="120"/>
      <x:c r="C8" s="120" t="str">
        <x:v>Model-implied only</x:v>
      </x:c>
      <x:c r="D8" s="120" t="str">
        <x:v>CIP from S0_in, R_USD, R_FC</x:v>
      </x:c>
      <x:c r="E8" s="120" t="str">
        <x:v>CME confirms active EUR/USD futures / FX swap markets but exact 1Y dealer forward not captured here</x:v>
      </x:c>
      <x:c r="F8" s="120" t="str">
        <x:v>2026-08-07</x:v>
      </x:c>
      <x:c r="G8" s="120" t="str">
        <x:v>Do not call live</x:v>
      </x:c>
      <x:c r="H8" s="120" t="str">
        <x:v>Workbook formula calculates an implied benchmark. Replace with actual market/dealer 1Y forward quote before recommendation.</x:v>
      </x:c>
    </x:row>
    <x:row r="9">
      <x:c r="A9" s="120" t="str">
        <x:v>K_PUT</x:v>
      </x:c>
      <x:c r="B9" s="120"/>
      <x:c r="C9" s="120" t="str">
        <x:v>Assumption</x:v>
      </x:c>
      <x:c r="D9" s="120" t="str">
        <x:v>Set ATM = S0_in</x:v>
      </x:c>
      <x:c r="E9" s="120" t="str">
        <x:v>Consistent with Stage 2 spec 'at or near spot'</x:v>
      </x:c>
      <x:c r="F9" s="120" t="str">
        <x:v>2026-08-07</x:v>
      </x:c>
      <x:c r="G9" s="120" t="str">
        <x:v>Use as assumption</x:v>
      </x:c>
      <x:c r="H9" s="120" t="str">
        <x:v>Not a market quote.</x:v>
      </x:c>
    </x:row>
    <x:row r="10">
      <x:c r="A10" s="120" t="str">
        <x:v>K_CALL</x:v>
      </x:c>
      <x:c r="B10" s="120"/>
      <x:c r="C10" s="120" t="str">
        <x:v>Assumption</x:v>
      </x:c>
      <x:c r="D10" s="120" t="str">
        <x:v>Set ATM = S0_in</x:v>
      </x:c>
      <x:c r="E10" s="120" t="str">
        <x:v>Consistent with Stage 2 spec 'at or near spot'</x:v>
      </x:c>
      <x:c r="F10" s="120" t="str">
        <x:v>2026-08-07</x:v>
      </x:c>
      <x:c r="G10" s="120" t="str">
        <x:v>Use as assumption</x:v>
      </x:c>
      <x:c r="H10" s="120" t="str">
        <x:v>Not a market quote.</x:v>
      </x:c>
    </x:row>
    <x:row r="11">
      <x:c r="A11" s="120" t="str">
        <x:v>PREM_PUT</x:v>
      </x:c>
      <x:c r="B11" s="136" t="n">
        <x:v>0.025</x:v>
      </x:c>
      <x:c r="C11" s="120" t="str">
        <x:v>Unverified placeholder</x:v>
      </x:c>
      <x:c r="D11" s="120" t="str">
        <x:v>No exact comparable public 1Y ATM premium verified</x:v>
      </x:c>
      <x:c r="E11" s="120" t="str">
        <x:v>CME publishes EUR/USD options markets, but premium depends on specific expiry/strike</x:v>
      </x:c>
      <x:c r="F11" s="120" t="str">
        <x:v>2026-08-07</x:v>
      </x:c>
      <x:c r="G11" s="120" t="str">
        <x:v>Keep placeholder</x:v>
      </x:c>
      <x:c r="H11" s="120" t="str">
        <x:v>Must be replaced with exact live quote before Stage 5 recommendation.</x:v>
      </x:c>
    </x:row>
    <x:row r="12">
      <x:c r="A12" s="120" t="str">
        <x:v>PREM_CALL</x:v>
      </x:c>
      <x:c r="B12" s="136" t="n">
        <x:v>0.025</x:v>
      </x:c>
      <x:c r="C12" s="120" t="str">
        <x:v>Unverified placeholder</x:v>
      </x:c>
      <x:c r="D12" s="120" t="str">
        <x:v>No exact comparable public 1Y ATM premium verified</x:v>
      </x:c>
      <x:c r="E12" s="120" t="str">
        <x:v>CME publishes EUR/USD options markets, but premium depends on specific expiry/strike</x:v>
      </x:c>
      <x:c r="F12" s="120" t="str">
        <x:v>2026-08-07</x:v>
      </x:c>
      <x:c r="G12" s="120" t="str">
        <x:v>Keep placeholder</x:v>
      </x:c>
      <x:c r="H12" s="120" t="str">
        <x:v>Must be replaced with exact live quote before Stage 5 recommendation.</x:v>
      </x:c>
    </x:row>
    <x:row r="13">
      <x:c r="A13" s="120" t="str">
        <x:v>T_DAYS</x:v>
      </x:c>
      <x:c r="B13" s="120" t="n">
        <x:v>365</x:v>
      </x:c>
      <x:c r="C13" s="120" t="str">
        <x:v>Verified calendar count</x:v>
      </x:c>
      <x:c r="D13" s="120" t="str">
        <x:v>2026-08-07 → 2027-08-07</x:v>
      </x:c>
      <x:c r="E13" s="120" t="str">
        <x:v>One-year horizon in scenario</x:v>
      </x:c>
      <x:c r="F13" s="120" t="str">
        <x:v>2026-08-07</x:v>
      </x:c>
      <x:c r="G13" s="120" t="str">
        <x:v>Use</x:v>
      </x:c>
      <x:c r="H13" s="120" t="str">
        <x:v>Exact calendar-year difference.</x:v>
      </x:c>
    </x:row>
    <x:row r="16">
      <x:c r="A16" s="125" t="str">
        <x:v>Source</x:v>
      </x:c>
      <x:c r="B16" s="125" t="str">
        <x:v>URL</x:v>
      </x:c>
    </x:row>
    <x:row r="17">
      <x:c r="A17" t="str">
        <x:v>ECB EUR/USD reference rates</x:v>
      </x:c>
      <x:c r="B17" t="str">
        <x:v>https://www.ecb.europa.eu/stats/policy_and_exchange_rates/euro_reference_exchange_rates/html/index.en.html</x:v>
      </x:c>
    </x:row>
    <x:row r="18">
      <x:c r="A18" t="str">
        <x:v>Bank of Finland exchange rates</x:v>
      </x:c>
      <x:c r="B18" t="str">
        <x:v>https://www.suomenpankki.fi/en/statistics/interest-rates-and-exchange-rates/exchange-rates/</x:v>
      </x:c>
    </x:row>
    <x:row r="19">
      <x:c r="A19" t="str">
        <x:v>Bank of Finland Euribor rates</x:v>
      </x:c>
      <x:c r="B19" t="str">
        <x:v>https://www.suomenpankki.fi/en/statistics/interest-rates-and-exchange-rates/euribor-rates/</x:v>
      </x:c>
    </x:row>
    <x:row r="20">
      <x:c r="A20" t="str">
        <x:v>Bank of Ireland Euribor reference rates</x:v>
      </x:c>
      <x:c r="B20" t="str">
        <x:v>https://businessbanking.bankofireland.com/credit/business-loans/business-banking-reference-rates/</x:v>
      </x:c>
    </x:row>
    <x:row r="21">
      <x:c r="A21" t="str">
        <x:v>U.S. Treasury interest-rate statistics</x:v>
      </x:c>
      <x:c r="B21" t="str">
        <x:v>https://home.treasury.gov/policy-issues/financing-the-government/interest-rate-statistics</x:v>
      </x:c>
    </x:row>
    <x:row r="22">
      <x:c r="A22" t="str">
        <x:v>NY Fed SOFR</x:v>
      </x:c>
      <x:c r="B22" t="str">
        <x:v>https://www.newyorkfed.org/markets/reference-rates/sofr</x:v>
      </x:c>
    </x:row>
    <x:row r="23">
      <x:c r="A23" t="str">
        <x:v>CME Euro FX futures</x:v>
      </x:c>
      <x:c r="B23" t="str">
        <x:v>https://www.cmegroup.com/markets/fx/g10/euro-fx.html</x:v>
      </x:c>
    </x:row>
  </x:sheetData>
  <x:mergeCells>
    <x:mergeCell ref="A1:H2"/>
  </x:mergeCells>
  <x:pageMargins left="0.7" right="0.7" top="0.75" bottom="0.75" header="0.3" footer="0.3"/>
</x:worksheet>
</file>